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wangtaizhong/Documents/92_WebSite/A7Xinlinkou/db/"/>
    </mc:Choice>
  </mc:AlternateContent>
  <xr:revisionPtr revIDLastSave="0" documentId="13_ncr:1_{E1206744-55FF-CD49-9008-3EC4AD5E92F5}" xr6:coauthVersionLast="47" xr6:coauthVersionMax="47" xr10:uidLastSave="{00000000-0000-0000-0000-000000000000}"/>
  <bookViews>
    <workbookView xWindow="640" yWindow="580" windowWidth="27320" windowHeight="16380" xr2:uid="{33D194D6-A429-7949-A97B-0894189945E2}"/>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30" i="1" l="1"/>
  <c r="T30" i="1"/>
  <c r="D30" i="1"/>
  <c r="T57" i="1"/>
  <c r="S57" i="1"/>
  <c r="N57" i="1"/>
  <c r="O57" i="1" s="1"/>
  <c r="D57" i="1"/>
  <c r="T56" i="1"/>
  <c r="S56" i="1"/>
  <c r="N56" i="1"/>
  <c r="O56" i="1" s="1"/>
  <c r="D56" i="1"/>
  <c r="T55" i="1"/>
  <c r="S55" i="1"/>
  <c r="N55" i="1"/>
  <c r="O55" i="1" s="1"/>
  <c r="D55" i="1"/>
  <c r="T54" i="1"/>
  <c r="S54" i="1"/>
  <c r="N54" i="1"/>
  <c r="O54" i="1" s="1"/>
  <c r="D54" i="1"/>
  <c r="T53" i="1"/>
  <c r="D53" i="1"/>
  <c r="T52" i="1"/>
  <c r="S52" i="1"/>
  <c r="N52" i="1"/>
  <c r="O52" i="1" s="1"/>
  <c r="D52" i="1"/>
  <c r="T51" i="1"/>
  <c r="S51" i="1"/>
  <c r="N51" i="1"/>
  <c r="O51" i="1" s="1"/>
  <c r="D51" i="1"/>
  <c r="T50" i="1"/>
  <c r="S50" i="1"/>
  <c r="N50" i="1"/>
  <c r="O50" i="1" s="1"/>
  <c r="D50" i="1"/>
  <c r="T49" i="1"/>
  <c r="S49" i="1"/>
  <c r="N49" i="1"/>
  <c r="O49" i="1" s="1"/>
  <c r="D49" i="1"/>
  <c r="T48" i="1"/>
  <c r="S48" i="1"/>
  <c r="N48" i="1"/>
  <c r="O48" i="1" s="1"/>
  <c r="D48" i="1"/>
  <c r="D47" i="1"/>
  <c r="T46" i="1"/>
  <c r="D46" i="1"/>
  <c r="T45" i="1"/>
  <c r="D45" i="1"/>
  <c r="T29" i="1"/>
  <c r="S29" i="1"/>
  <c r="N29" i="1"/>
  <c r="O29" i="1" s="1"/>
  <c r="D29" i="1"/>
  <c r="T44" i="1"/>
  <c r="S44" i="1"/>
  <c r="N44" i="1"/>
  <c r="O44" i="1" s="1"/>
  <c r="D44" i="1"/>
  <c r="T43" i="1"/>
  <c r="S43" i="1"/>
  <c r="N43" i="1"/>
  <c r="O43" i="1" s="1"/>
  <c r="D43" i="1"/>
  <c r="T42" i="1"/>
  <c r="S42" i="1"/>
  <c r="N42" i="1"/>
  <c r="O42" i="1" s="1"/>
  <c r="D42" i="1"/>
  <c r="T41" i="1"/>
  <c r="S41" i="1"/>
  <c r="N41" i="1"/>
  <c r="O41" i="1" s="1"/>
  <c r="D41" i="1"/>
  <c r="T40" i="1"/>
  <c r="S40" i="1"/>
  <c r="N40" i="1"/>
  <c r="O40" i="1" s="1"/>
  <c r="D40" i="1"/>
  <c r="T39" i="1"/>
  <c r="S39" i="1"/>
  <c r="N39" i="1"/>
  <c r="O39" i="1" s="1"/>
  <c r="D39" i="1"/>
  <c r="T38" i="1"/>
  <c r="S38" i="1"/>
  <c r="N38" i="1"/>
  <c r="O38" i="1" s="1"/>
  <c r="D38" i="1"/>
  <c r="T37" i="1"/>
  <c r="S37" i="1"/>
  <c r="N37" i="1"/>
  <c r="O37" i="1" s="1"/>
  <c r="D37" i="1"/>
  <c r="T36" i="1"/>
  <c r="S36" i="1"/>
  <c r="N36" i="1"/>
  <c r="O36" i="1" s="1"/>
  <c r="D36" i="1"/>
  <c r="T35" i="1"/>
  <c r="S35" i="1"/>
  <c r="N35" i="1"/>
  <c r="O35" i="1" s="1"/>
  <c r="D35" i="1"/>
  <c r="T34" i="1"/>
  <c r="S34" i="1"/>
  <c r="N34" i="1"/>
  <c r="O34" i="1" s="1"/>
  <c r="D34" i="1"/>
  <c r="T33" i="1"/>
  <c r="S33" i="1"/>
  <c r="N33" i="1"/>
  <c r="O33" i="1" s="1"/>
  <c r="D33" i="1"/>
  <c r="T32" i="1"/>
  <c r="S32" i="1"/>
  <c r="N32" i="1"/>
  <c r="O32" i="1" s="1"/>
  <c r="D32" i="1"/>
  <c r="T31" i="1"/>
  <c r="S31" i="1"/>
  <c r="N31" i="1"/>
  <c r="O31" i="1" s="1"/>
  <c r="D31" i="1"/>
  <c r="D28" i="1"/>
  <c r="T27" i="1"/>
  <c r="S27" i="1"/>
  <c r="N27" i="1"/>
  <c r="O27" i="1" s="1"/>
  <c r="D27" i="1"/>
  <c r="T26" i="1"/>
  <c r="S26" i="1"/>
  <c r="N26" i="1"/>
  <c r="O26" i="1" s="1"/>
  <c r="D26" i="1"/>
  <c r="T25" i="1"/>
  <c r="S25" i="1"/>
  <c r="N25" i="1"/>
  <c r="O25" i="1" s="1"/>
  <c r="D25" i="1"/>
  <c r="T24" i="1"/>
  <c r="S24" i="1"/>
  <c r="N24" i="1"/>
  <c r="O24" i="1" s="1"/>
  <c r="D24" i="1"/>
  <c r="T23" i="1"/>
  <c r="S23" i="1"/>
  <c r="N23" i="1"/>
  <c r="O23" i="1" s="1"/>
  <c r="D23" i="1"/>
  <c r="T22" i="1"/>
  <c r="S22" i="1"/>
  <c r="N22" i="1"/>
  <c r="O22" i="1" s="1"/>
  <c r="D22" i="1"/>
  <c r="T21" i="1"/>
  <c r="S21" i="1"/>
  <c r="N21" i="1"/>
  <c r="O21" i="1" s="1"/>
  <c r="D21" i="1"/>
  <c r="T20" i="1"/>
  <c r="S20" i="1"/>
  <c r="N20" i="1"/>
  <c r="O20" i="1" s="1"/>
  <c r="D20" i="1"/>
  <c r="T19" i="1"/>
  <c r="S19" i="1"/>
  <c r="N19" i="1"/>
  <c r="O19" i="1" s="1"/>
  <c r="D19" i="1"/>
  <c r="T18" i="1"/>
  <c r="S18" i="1"/>
  <c r="N18" i="1"/>
  <c r="O18" i="1" s="1"/>
  <c r="D18" i="1"/>
  <c r="T17" i="1"/>
  <c r="S17" i="1"/>
  <c r="O17" i="1"/>
  <c r="N17" i="1"/>
  <c r="D17" i="1"/>
  <c r="T16" i="1"/>
  <c r="S16" i="1"/>
  <c r="N16" i="1"/>
  <c r="O16" i="1" s="1"/>
  <c r="D16" i="1"/>
  <c r="T15" i="1"/>
  <c r="S15" i="1"/>
  <c r="N15" i="1"/>
  <c r="O15" i="1" s="1"/>
  <c r="D15" i="1"/>
  <c r="T14" i="1"/>
  <c r="S14" i="1"/>
  <c r="N14" i="1"/>
  <c r="O14" i="1" s="1"/>
  <c r="D14" i="1"/>
  <c r="T13" i="1"/>
  <c r="S13" i="1"/>
  <c r="N13" i="1"/>
  <c r="O13" i="1" s="1"/>
  <c r="D13" i="1"/>
  <c r="T12" i="1"/>
  <c r="S12" i="1"/>
  <c r="O12" i="1"/>
  <c r="N12" i="1"/>
  <c r="D12" i="1"/>
  <c r="T11" i="1"/>
  <c r="S11" i="1"/>
  <c r="N11" i="1"/>
  <c r="O11" i="1" s="1"/>
  <c r="D11" i="1"/>
  <c r="T10" i="1"/>
  <c r="S10" i="1"/>
  <c r="N10" i="1"/>
  <c r="O10" i="1" s="1"/>
  <c r="D10" i="1"/>
  <c r="T9" i="1"/>
  <c r="D9" i="1"/>
  <c r="T8" i="1"/>
  <c r="S8" i="1"/>
  <c r="N8" i="1"/>
  <c r="O8" i="1" s="1"/>
  <c r="D8" i="1"/>
  <c r="T7" i="1"/>
  <c r="S7" i="1"/>
  <c r="N7" i="1"/>
  <c r="O7" i="1" s="1"/>
  <c r="D7" i="1"/>
  <c r="T6" i="1"/>
  <c r="S6" i="1"/>
  <c r="N6" i="1"/>
  <c r="O6" i="1" s="1"/>
  <c r="D6" i="1"/>
  <c r="T5" i="1"/>
  <c r="S5" i="1"/>
  <c r="N5" i="1"/>
  <c r="O5" i="1" s="1"/>
  <c r="D5" i="1"/>
  <c r="T4" i="1"/>
  <c r="S4" i="1"/>
  <c r="N4" i="1"/>
  <c r="O4" i="1" s="1"/>
  <c r="D4" i="1"/>
  <c r="T3" i="1"/>
  <c r="S3" i="1"/>
  <c r="N3" i="1"/>
  <c r="O3" i="1" s="1"/>
  <c r="D3" i="1"/>
  <c r="T2" i="1"/>
  <c r="S2" i="1"/>
  <c r="N2" i="1"/>
  <c r="O2" i="1" s="1"/>
  <c r="D2" i="1"/>
</calcChain>
</file>

<file path=xl/sharedStrings.xml><?xml version="1.0" encoding="utf-8"?>
<sst xmlns="http://schemas.openxmlformats.org/spreadsheetml/2006/main" count="2196" uniqueCount="1158">
  <si>
    <t>No</t>
    <phoneticPr fontId="2" type="noConversion"/>
  </si>
  <si>
    <t>區域</t>
    <phoneticPr fontId="2" type="noConversion"/>
  </si>
  <si>
    <t>建案</t>
  </si>
  <si>
    <t>N建案</t>
    <phoneticPr fontId="2" type="noConversion"/>
  </si>
  <si>
    <t>Figure</t>
    <phoneticPr fontId="3" type="noConversion"/>
  </si>
  <si>
    <t>Link</t>
    <phoneticPr fontId="3" type="noConversion"/>
  </si>
  <si>
    <t>實價2021</t>
    <phoneticPr fontId="2" type="noConversion"/>
  </si>
  <si>
    <t>實價總平均或登錄筆數</t>
    <phoneticPr fontId="2" type="noConversion"/>
  </si>
  <si>
    <t>最高實價</t>
    <phoneticPr fontId="2" type="noConversion"/>
  </si>
  <si>
    <t>最低實價</t>
    <phoneticPr fontId="2" type="noConversion"/>
  </si>
  <si>
    <t>每坪開價2020</t>
    <phoneticPr fontId="2" type="noConversion"/>
  </si>
  <si>
    <t>2020每坪開價-最低</t>
    <phoneticPr fontId="2" type="noConversion"/>
  </si>
  <si>
    <t>2020每坪開價-最高</t>
    <phoneticPr fontId="2" type="noConversion"/>
  </si>
  <si>
    <t>每坪價-平均</t>
    <phoneticPr fontId="2" type="noConversion"/>
  </si>
  <si>
    <t>2020價差</t>
    <phoneticPr fontId="2" type="noConversion"/>
  </si>
  <si>
    <t>每坪開價2022</t>
    <phoneticPr fontId="2" type="noConversion"/>
  </si>
  <si>
    <t>每坪價2022-最低</t>
    <phoneticPr fontId="2" type="noConversion"/>
  </si>
  <si>
    <t>每坪價2022-最高</t>
    <phoneticPr fontId="2" type="noConversion"/>
  </si>
  <si>
    <t>2022價差</t>
    <phoneticPr fontId="2" type="noConversion"/>
  </si>
  <si>
    <t>每坪價2022-平均</t>
    <phoneticPr fontId="2" type="noConversion"/>
  </si>
  <si>
    <t>不變</t>
    <phoneticPr fontId="2" type="noConversion"/>
  </si>
  <si>
    <t>FacebookName</t>
    <phoneticPr fontId="2" type="noConversion"/>
  </si>
  <si>
    <t>FacebookLink</t>
    <phoneticPr fontId="2" type="noConversion"/>
  </si>
  <si>
    <t>LineID</t>
    <phoneticPr fontId="2" type="noConversion"/>
  </si>
  <si>
    <t>車位價格</t>
  </si>
  <si>
    <t>車位價格-最低</t>
    <phoneticPr fontId="2" type="noConversion"/>
  </si>
  <si>
    <t>車位價格-最高</t>
    <phoneticPr fontId="2" type="noConversion"/>
  </si>
  <si>
    <t>貸款成數</t>
  </si>
  <si>
    <t>公開銷售</t>
  </si>
  <si>
    <t>交屋時間</t>
  </si>
  <si>
    <t>交屋年份</t>
    <phoneticPr fontId="2" type="noConversion"/>
  </si>
  <si>
    <t>交屋時程</t>
    <phoneticPr fontId="2" type="noConversion"/>
  </si>
  <si>
    <t>交屋屋況</t>
  </si>
  <si>
    <t>格局規劃</t>
  </si>
  <si>
    <t>Category</t>
    <phoneticPr fontId="3" type="noConversion"/>
  </si>
  <si>
    <t>Category1</t>
    <phoneticPr fontId="2" type="noConversion"/>
  </si>
  <si>
    <t>建物形態</t>
  </si>
  <si>
    <t>基地地址</t>
  </si>
  <si>
    <t>接待會館</t>
  </si>
  <si>
    <t>投資建設F</t>
    <phoneticPr fontId="3" type="noConversion"/>
  </si>
  <si>
    <t>投資建設</t>
  </si>
  <si>
    <t>建設公司</t>
    <phoneticPr fontId="2" type="noConversion"/>
  </si>
  <si>
    <t>營造公司</t>
  </si>
  <si>
    <t>企劃銷售</t>
  </si>
  <si>
    <t>建案特色</t>
  </si>
  <si>
    <t>公設比</t>
  </si>
  <si>
    <t>公設比例</t>
    <phoneticPr fontId="2" type="noConversion"/>
  </si>
  <si>
    <t>棟戶規劃</t>
    <phoneticPr fontId="2" type="noConversion"/>
  </si>
  <si>
    <t>住家戶數</t>
    <phoneticPr fontId="2" type="noConversion"/>
  </si>
  <si>
    <t>商店戶數</t>
    <phoneticPr fontId="2" type="noConversion"/>
  </si>
  <si>
    <t>建蔽率</t>
  </si>
  <si>
    <t>建蔽比率</t>
    <phoneticPr fontId="2" type="noConversion"/>
  </si>
  <si>
    <t>樓層規劃</t>
  </si>
  <si>
    <t>樓層數</t>
    <phoneticPr fontId="2" type="noConversion"/>
  </si>
  <si>
    <t>車位規劃</t>
  </si>
  <si>
    <t>管理費用</t>
  </si>
  <si>
    <t>車位配比</t>
  </si>
  <si>
    <t>車位分配率</t>
    <phoneticPr fontId="2" type="noConversion"/>
  </si>
  <si>
    <t>結構工程</t>
  </si>
  <si>
    <t>基地面積</t>
  </si>
  <si>
    <t>建築面積</t>
    <phoneticPr fontId="2" type="noConversion"/>
  </si>
  <si>
    <t>用途規劃</t>
  </si>
  <si>
    <t>土地分區</t>
  </si>
  <si>
    <t>物業公司</t>
  </si>
  <si>
    <t>管委會</t>
  </si>
  <si>
    <t>建造執照</t>
  </si>
  <si>
    <t>建築設計</t>
  </si>
  <si>
    <t>使用執照</t>
  </si>
  <si>
    <t>行政里</t>
    <phoneticPr fontId="2" type="noConversion"/>
  </si>
  <si>
    <t>1.樂善國小生活圈</t>
    <phoneticPr fontId="2" type="noConversion"/>
  </si>
  <si>
    <t>和發大境</t>
    <phoneticPr fontId="3" type="noConversion"/>
  </si>
  <si>
    <t>fig/AiCity-939-和發大境.jpg</t>
    <phoneticPr fontId="3" type="noConversion"/>
  </si>
  <si>
    <t>https://newhouse.591.com.tw/home/housing/detail?hid=125726</t>
    <phoneticPr fontId="3" type="noConversion"/>
  </si>
  <si>
    <t>179/292</t>
    <phoneticPr fontId="2" type="noConversion"/>
  </si>
  <si>
    <t>28~29 萬/坪</t>
    <phoneticPr fontId="3" type="noConversion"/>
  </si>
  <si>
    <t>34~36 萬/坪</t>
    <phoneticPr fontId="2" type="noConversion"/>
  </si>
  <si>
    <r>
      <t>170~205萬</t>
    </r>
    <r>
      <rPr>
        <sz val="12"/>
        <color theme="1"/>
        <rFont val="新細明體"/>
        <family val="2"/>
        <charset val="136"/>
        <scheme val="minor"/>
      </rPr>
      <t/>
    </r>
    <phoneticPr fontId="3" type="noConversion"/>
  </si>
  <si>
    <t>銷售中</t>
  </si>
  <si>
    <t>2022年下半年</t>
    <phoneticPr fontId="2" type="noConversion"/>
  </si>
  <si>
    <t>2022Q4</t>
    <phoneticPr fontId="2" type="noConversion"/>
  </si>
  <si>
    <t>標準配備</t>
  </si>
  <si>
    <t>二房(26~28坪) 、三房(39~40坪) 、四房(44坪) 、2+1房(33坪)</t>
    <phoneticPr fontId="2" type="noConversion"/>
  </si>
  <si>
    <t>預售屋</t>
    <phoneticPr fontId="2" type="noConversion"/>
  </si>
  <si>
    <t>A7XLK</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</si>
  <si>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</si>
  <si>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</si>
  <si>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</si>
  <si>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</si>
  <si>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</si>
  <si>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寶佳集團</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</si>
  <si>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</si>
  <si>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</si>
  <si>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</si>
  <si>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</si>
  <si>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</si>
  <si>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</si>
  <si>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待定</t>
  </si>
  <si>
    <t>1:1.09</t>
    <phoneticPr fontId="2" type="noConversion"/>
  </si>
  <si>
    <t>RC</t>
  </si>
  <si>
    <t>1586.57坪</t>
    <phoneticPr fontId="2" type="noConversion"/>
  </si>
  <si>
    <t>住商用</t>
  </si>
  <si>
    <t>第四種住宅區</t>
  </si>
  <si>
    <t>暫無</t>
  </si>
  <si>
    <t>108桃市都建執照字第00546-01號</t>
    <phoneticPr fontId="2" type="noConversion"/>
  </si>
  <si>
    <t>拓璞聯合建築師事務所(聶玉璞)</t>
    <phoneticPr fontId="2" type="noConversion"/>
  </si>
  <si>
    <t>長庚里</t>
    <phoneticPr fontId="2" type="noConversion"/>
  </si>
  <si>
    <t>鴻典</t>
  </si>
  <si>
    <t>fig/AiCity-939-鴻典.jpg</t>
    <phoneticPr fontId="3" type="noConversion"/>
  </si>
  <si>
    <t>https://newhouse.591.com.tw/home/housing/detail?hid=122584&amp;v=720</t>
    <phoneticPr fontId="3" type="noConversion"/>
  </si>
  <si>
    <t>26萬元/坪</t>
  </si>
  <si>
    <t>29萬元/坪</t>
    <phoneticPr fontId="2" type="noConversion"/>
  </si>
  <si>
    <t>180~210萬</t>
  </si>
  <si>
    <t>80%</t>
  </si>
  <si>
    <r>
      <t>2022</t>
    </r>
    <r>
      <rPr>
        <sz val="11"/>
        <color rgb="FF000000"/>
        <rFont val="PMingLiU"/>
        <family val="1"/>
        <charset val="136"/>
      </rPr>
      <t>年第一季</t>
    </r>
    <phoneticPr fontId="3" type="noConversion"/>
  </si>
  <si>
    <t>2022Q1</t>
    <phoneticPr fontId="2" type="noConversion"/>
  </si>
  <si>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</si>
  <si>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</si>
  <si>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</si>
  <si>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</si>
  <si>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</si>
  <si>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</si>
  <si>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</si>
  <si>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</si>
  <si>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</si>
  <si>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</si>
  <si>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</si>
  <si>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</si>
  <si>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</si>
  <si>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</si>
  <si>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</si>
  <si>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</si>
  <si>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1062.93坪</t>
  </si>
  <si>
    <t>107桃市都建執照字第01412-01號等1個</t>
  </si>
  <si>
    <t>拓璞聯合建築師事務所</t>
  </si>
  <si>
    <t>樂善里</t>
    <phoneticPr fontId="2" type="noConversion"/>
  </si>
  <si>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</si>
  <si>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</si>
  <si>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</si>
  <si>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Y</t>
    <phoneticPr fontId="2" type="noConversion"/>
  </si>
  <si>
    <t>樂捷市好鄰居</t>
    <phoneticPr fontId="2" type="noConversion"/>
  </si>
  <si>
    <t>https://www.facebook.com/groups/324107612343329</t>
    <phoneticPr fontId="2" type="noConversion"/>
  </si>
  <si>
    <t>150~195萬</t>
  </si>
  <si>
    <t>85%</t>
  </si>
  <si>
    <t>隨時交屋</t>
  </si>
  <si>
    <t>2019Q4</t>
    <phoneticPr fontId="2" type="noConversion"/>
  </si>
  <si>
    <t>二房(26坪)、三房(38坪)、1+1房(25坪)、3+1房(44坪)</t>
  </si>
  <si>
    <t>新成屋</t>
  </si>
  <si>
    <t>住宅大樓/住商用</t>
  </si>
  <si>
    <t>桃園市龜山區長慶三街18號</t>
  </si>
  <si>
    <t>桃園市龜山區長慶三街18號1樓</t>
  </si>
  <si>
    <t>近捷運、明星學區、制震宅、近公園、重劃區</t>
  </si>
  <si>
    <t>31.5%</t>
  </si>
  <si>
    <t>1幢，8棟，326戶住家，20戶店面</t>
  </si>
  <si>
    <t>49.56%</t>
  </si>
  <si>
    <t>平面式285個、機械式61個</t>
  </si>
  <si>
    <t>1:1</t>
    <phoneticPr fontId="2" type="noConversion"/>
  </si>
  <si>
    <t>1848.44坪</t>
  </si>
  <si>
    <t>（106)桃市都建執照字第00372號等1個</t>
  </si>
  <si>
    <t>聶玉璞</t>
  </si>
  <si>
    <t>奇幻莊園</t>
  </si>
  <si>
    <t>fig/AiCity-939-奇幻莊園.jpg</t>
    <phoneticPr fontId="3" type="noConversion"/>
  </si>
  <si>
    <t>https://newhouse.591.com.tw/home/housing/detail?hid=116476&amp;v=720</t>
    <phoneticPr fontId="3" type="noConversion"/>
  </si>
  <si>
    <t>24.5~25.5萬元/坪</t>
  </si>
  <si>
    <t>龜山A7-奇幻莊園住戶</t>
    <phoneticPr fontId="2" type="noConversion"/>
  </si>
  <si>
    <t>https://www.facebook.com/groups/588376114975687</t>
    <phoneticPr fontId="2" type="noConversion"/>
  </si>
  <si>
    <t>160~220萬</t>
  </si>
  <si>
    <t>隨時交屋</t>
    <phoneticPr fontId="2" type="noConversion"/>
  </si>
  <si>
    <t>2020Q2</t>
    <phoneticPr fontId="2" type="noConversion"/>
  </si>
  <si>
    <t>二房(25~27坪)、三房(34-38坪)</t>
  </si>
  <si>
    <t>桃園市龜山區長慶二街</t>
  </si>
  <si>
    <t>佳晟建設股份有限公司</t>
  </si>
  <si>
    <t>佳晟建設</t>
  </si>
  <si>
    <t>萬代營造有限公司</t>
  </si>
  <si>
    <t>近捷運、近公園、重劃區</t>
  </si>
  <si>
    <t>1幢，3棟，173戶住家，11戶店面</t>
  </si>
  <si>
    <t>48.26%</t>
  </si>
  <si>
    <t>地上13,14層，地下4層</t>
  </si>
  <si>
    <t>平面式181個、機械式61個</t>
  </si>
  <si>
    <t>55元/坪/月</t>
  </si>
  <si>
    <t>1:0.98</t>
  </si>
  <si>
    <t>954.46坪</t>
  </si>
  <si>
    <t>106桃市都建執照字第01160-01號</t>
  </si>
  <si>
    <t>林大俊建築師事務所</t>
  </si>
  <si>
    <t>樂田田</t>
    <phoneticPr fontId="3" type="noConversion"/>
  </si>
  <si>
    <t>fig/AiCity-939-樂甜甜.jpg</t>
    <phoneticPr fontId="3" type="noConversion"/>
  </si>
  <si>
    <t>https://newhouse.591.com.tw/home/housing/detail?hid=121200&amp;v=720</t>
    <phoneticPr fontId="2" type="noConversion"/>
  </si>
  <si>
    <t>203/199</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</si>
  <si>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</si>
  <si>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</si>
  <si>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</si>
  <si>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</si>
  <si>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</si>
  <si>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</si>
  <si>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</si>
  <si>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</si>
  <si>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</si>
  <si>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</si>
  <si>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</si>
  <si>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</si>
  <si>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</si>
  <si>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</si>
  <si>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</si>
  <si>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</si>
  <si>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</si>
  <si>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</si>
  <si>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</si>
  <si>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t>玉子園</t>
    <phoneticPr fontId="2" type="noConversion"/>
  </si>
  <si>
    <t>fig/AiCity-939-玉子園.jpg</t>
    <phoneticPr fontId="3" type="noConversion"/>
  </si>
  <si>
    <t>https://newhouse.591.com.tw/home/housing/detail?hid=119531&amp;v=720</t>
    <phoneticPr fontId="3" type="noConversion"/>
  </si>
  <si>
    <t>26~28萬元/坪</t>
  </si>
  <si>
    <t>130~205萬</t>
  </si>
  <si>
    <r>
      <t>2021</t>
    </r>
    <r>
      <rPr>
        <sz val="11"/>
        <color rgb="FF000000"/>
        <rFont val="PMingLiU"/>
        <family val="1"/>
        <charset val="136"/>
      </rPr>
      <t>年第四季</t>
    </r>
    <phoneticPr fontId="3" type="noConversion"/>
  </si>
  <si>
    <t>2021Q4</t>
    <phoneticPr fontId="2" type="noConversion"/>
  </si>
  <si>
    <t>二房(24~27坪)、三房(36~43坪)</t>
  </si>
  <si>
    <t>桃園市龜山區樂捷段地號136, 140</t>
  </si>
  <si>
    <t>桃園市龜山區文化一路與華亞三路交口</t>
  </si>
  <si>
    <t>協勝建設股份有限公司</t>
  </si>
  <si>
    <t>協勝建設</t>
  </si>
  <si>
    <t>洛城營造有限公司</t>
  </si>
  <si>
    <t>漢乙廣告有限公司</t>
  </si>
  <si>
    <t>明星學區、景觀宅、低首付</t>
  </si>
  <si>
    <t>31~32%</t>
  </si>
  <si>
    <t>5棟，186戶住家，7戶店面</t>
  </si>
  <si>
    <t>44.23%</t>
  </si>
  <si>
    <t>平面式178個、機械式14個</t>
  </si>
  <si>
    <t>1:0.99</t>
  </si>
  <si>
    <t>1042.98坪</t>
  </si>
  <si>
    <t>(106)桃市都建執照字第會龜00880-01號等1個</t>
  </si>
  <si>
    <t>台北國際村</t>
    <phoneticPr fontId="2" type="noConversion"/>
  </si>
  <si>
    <t>fig/AiCity-939-台北國際村.jpg</t>
    <phoneticPr fontId="3" type="noConversion"/>
  </si>
  <si>
    <t>https://newhouse.591.com.tw/home/housing/detail?hid=118714&amp;v=720</t>
    <phoneticPr fontId="3" type="noConversion"/>
  </si>
  <si>
    <t>25~26萬元/坪</t>
  </si>
  <si>
    <t>27~29 萬/坪</t>
    <phoneticPr fontId="2" type="noConversion"/>
  </si>
  <si>
    <t>台北國際村住戶交流園區_林口A7</t>
    <phoneticPr fontId="2" type="noConversion"/>
  </si>
  <si>
    <t>https://www.facebook.com/groups/2397202740545114</t>
    <phoneticPr fontId="2" type="noConversion"/>
  </si>
  <si>
    <t>160~195萬</t>
  </si>
  <si>
    <r>
      <t>2021</t>
    </r>
    <r>
      <rPr>
        <sz val="11"/>
        <color rgb="FF000000"/>
        <rFont val="PMingLiU"/>
        <family val="1"/>
        <charset val="136"/>
      </rPr>
      <t>年第一季</t>
    </r>
    <phoneticPr fontId="3" type="noConversion"/>
  </si>
  <si>
    <t>2021Q2</t>
    <phoneticPr fontId="2"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</si>
  <si>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</si>
  <si>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</si>
  <si>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</si>
  <si>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</si>
  <si>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</si>
  <si>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</si>
  <si>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</si>
  <si>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</si>
  <si>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地上15層，地下4層</t>
  </si>
  <si>
    <t>平面式206個</t>
  </si>
  <si>
    <t>1054.47坪</t>
  </si>
  <si>
    <t>(107)桃市都建執照字第會龜01092-01號等1個</t>
  </si>
  <si>
    <t>豐邑氧森</t>
    <phoneticPr fontId="2" type="noConversion"/>
  </si>
  <si>
    <t>https://newhouse.591.com.tw/home/housing/detail?hid=129338</t>
    <phoneticPr fontId="2" type="noConversion"/>
  </si>
  <si>
    <t>12/328</t>
    <phoneticPr fontId="2" type="noConversion"/>
  </si>
  <si>
    <t>41 萬/坪</t>
    <phoneticPr fontId="2" type="noConversion"/>
  </si>
  <si>
    <t>200萬</t>
    <phoneticPr fontId="2" type="noConversion"/>
  </si>
  <si>
    <t>2025年第四季度</t>
    <phoneticPr fontId="2" type="noConversion"/>
  </si>
  <si>
    <t>2025Q4</t>
    <phoneticPr fontId="2" type="noConversion"/>
  </si>
  <si>
    <t>二房(24~25坪) 、 三房(33~41坪) 、 2+1房(27~30坪)</t>
    <phoneticPr fontId="2" type="noConversion"/>
  </si>
  <si>
    <t>預售屋</t>
    <phoneticPr fontId="3" type="noConversion"/>
  </si>
  <si>
    <t>住商用</t>
    <phoneticPr fontId="2" type="noConversion"/>
  </si>
  <si>
    <t xml:space="preserve"> 桃園市龜山區樂學路622巷</t>
    <phoneticPr fontId="2" type="noConversion"/>
  </si>
  <si>
    <t>豐邑建設股份有限公司</t>
    <phoneticPr fontId="2" type="noConversion"/>
  </si>
  <si>
    <t>豐邑建設</t>
    <phoneticPr fontId="2" type="noConversion"/>
  </si>
  <si>
    <t>豐邑建設</t>
  </si>
  <si>
    <t>頌揚營造股份有限公司</t>
    <phoneticPr fontId="2" type="noConversion"/>
  </si>
  <si>
    <t>創意家行銷股份有限公司</t>
    <phoneticPr fontId="2" type="noConversion"/>
  </si>
  <si>
    <t>1幢，8棟，320戶住家，8戶店面</t>
    <phoneticPr fontId="2" type="noConversion"/>
  </si>
  <si>
    <t>地上21層，地下4層</t>
    <phoneticPr fontId="2" type="noConversion"/>
  </si>
  <si>
    <t>平面式374個</t>
    <phoneticPr fontId="2" type="noConversion"/>
  </si>
  <si>
    <t>待定</t>
    <phoneticPr fontId="2" type="noConversion"/>
  </si>
  <si>
    <t>1:1.14</t>
    <phoneticPr fontId="2" type="noConversion"/>
  </si>
  <si>
    <t>RC</t>
    <phoneticPr fontId="2" type="noConversion"/>
  </si>
  <si>
    <t>1761.89坪</t>
    <phoneticPr fontId="2" type="noConversion"/>
  </si>
  <si>
    <t>第四種住宅區</t>
    <phoneticPr fontId="2" type="noConversion"/>
  </si>
  <si>
    <t>108桃市都建執照字第01289號</t>
    <phoneticPr fontId="2" type="noConversion"/>
  </si>
  <si>
    <t>王銘鴻建築師事務所</t>
    <phoneticPr fontId="2" type="noConversion"/>
  </si>
  <si>
    <t>2.郵政物流園區</t>
    <phoneticPr fontId="2" type="noConversion"/>
  </si>
  <si>
    <t>富宇上城</t>
  </si>
  <si>
    <t>fig/AiCity-939-富宇上城.jpg</t>
    <phoneticPr fontId="3" type="noConversion"/>
  </si>
  <si>
    <t>https://newhouse.591.com.tw/home/housing/detail?hid=121156&amp;v=720</t>
    <phoneticPr fontId="3" type="noConversion"/>
  </si>
  <si>
    <t>30~35萬元/坪</t>
  </si>
  <si>
    <t>44~49 萬/坪</t>
    <phoneticPr fontId="2" type="noConversion"/>
  </si>
  <si>
    <t>170~205萬</t>
  </si>
  <si>
    <r>
      <t>2023</t>
    </r>
    <r>
      <rPr>
        <sz val="11"/>
        <color rgb="FF000000"/>
        <rFont val="PMingLiU"/>
        <family val="1"/>
        <charset val="136"/>
      </rPr>
      <t>年第一季</t>
    </r>
    <phoneticPr fontId="3" type="noConversion"/>
  </si>
  <si>
    <t>2025Q2</t>
    <phoneticPr fontId="2"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</si>
  <si>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</si>
  <si>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</si>
  <si>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</si>
  <si>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</si>
  <si>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</si>
  <si>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</si>
  <si>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</si>
  <si>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</si>
  <si>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</si>
  <si>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</si>
  <si>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</si>
  <si>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</si>
  <si>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</si>
  <si>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</si>
  <si>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</si>
  <si>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</si>
  <si>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</si>
  <si>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</si>
  <si>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</si>
  <si>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禾悅花園</t>
  </si>
  <si>
    <t>fig/AiCity-939-禾悅花園.jpg</t>
    <phoneticPr fontId="3" type="noConversion"/>
  </si>
  <si>
    <t>https://newhouse.591.com.tw/home/housing/detail?hid=122734&amp;v=720</t>
    <phoneticPr fontId="3" type="noConversion"/>
  </si>
  <si>
    <t>929/1044</t>
    <phoneticPr fontId="2" type="noConversion"/>
  </si>
  <si>
    <t>28~29萬元/坪</t>
  </si>
  <si>
    <t>35~37 萬/坪</t>
    <phoneticPr fontId="2" type="noConversion"/>
  </si>
  <si>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</si>
  <si>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</si>
  <si>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</si>
  <si>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</si>
  <si>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</si>
  <si>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</si>
  <si>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禾聯建築</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</si>
  <si>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</si>
  <si>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</si>
  <si>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</si>
  <si>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</si>
  <si>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</si>
  <si>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</si>
  <si>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</si>
  <si>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</si>
  <si>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</si>
  <si>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</si>
  <si>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</si>
  <si>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</si>
  <si>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耀台北</t>
    <phoneticPr fontId="2" type="noConversion"/>
  </si>
  <si>
    <t>fig/AiCity-939-耀台北.jpg</t>
    <phoneticPr fontId="3" type="noConversion"/>
  </si>
  <si>
    <t>https://newhouse.591.com.tw/home/housing/detail?hid=118336&amp;v=720</t>
    <phoneticPr fontId="3" type="noConversion"/>
  </si>
  <si>
    <t>26~28萬元/坪</t>
    <phoneticPr fontId="2" type="noConversion"/>
  </si>
  <si>
    <t>170~195萬</t>
  </si>
  <si>
    <t>二房(26-29坪)、三房(39~40坪)、4房(44坪)</t>
  </si>
  <si>
    <t>桃園市龜山區樂捷段地號 184</t>
  </si>
  <si>
    <t>桃園市龜山區文化一路103號</t>
  </si>
  <si>
    <t>和耀建設股份有限公司</t>
  </si>
  <si>
    <t>和耀建設</t>
  </si>
  <si>
    <t>近捷運、明星學區、景觀宅、近公園、重劃區、低首付</t>
  </si>
  <si>
    <t>5棟，199戶住家，2戶店面</t>
  </si>
  <si>
    <t>46.14%</t>
  </si>
  <si>
    <t>平面式139個、機械式65個</t>
  </si>
  <si>
    <t>1:1.01</t>
  </si>
  <si>
    <t>909.91坪</t>
  </si>
  <si>
    <t>(107)桃市都建執照字第會龜00614號等1個</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</si>
  <si>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</si>
  <si>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</si>
  <si>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https://newhouse.591.com.tw/home/housing/detail?hid=118186</t>
  </si>
  <si>
    <t>205/321</t>
    <phoneticPr fontId="2" type="noConversion"/>
  </si>
  <si>
    <t>25~26萬元/坪</t>
    <phoneticPr fontId="2" type="noConversion"/>
  </si>
  <si>
    <t>27~28 萬/坪</t>
    <phoneticPr fontId="2" type="noConversion"/>
  </si>
  <si>
    <t>A7皇普MVP屋主交流團</t>
    <phoneticPr fontId="2" type="noConversion"/>
  </si>
  <si>
    <t>https://www.facebook.com/groups/800873736965340</t>
    <phoneticPr fontId="2" type="noConversion"/>
  </si>
  <si>
    <t>2021年10月</t>
    <phoneticPr fontId="2" type="noConversion"/>
  </si>
  <si>
    <t>二房(26~29坪) 、三房(37~40坪)</t>
    <phoneticPr fontId="2" type="noConversion"/>
  </si>
  <si>
    <t>桃園市龜山區文化一路</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</si>
  <si>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</si>
  <si>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</si>
  <si>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</si>
  <si>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</si>
  <si>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新理想廣告</t>
    <phoneticPr fontId="2" type="noConversion"/>
  </si>
  <si>
    <t>近捷運、明星學區、重劃區、低首付</t>
    <phoneticPr fontId="2" type="noConversion"/>
  </si>
  <si>
    <t>6棟，308戶住家，13戶店面</t>
    <phoneticPr fontId="2" type="noConversion"/>
  </si>
  <si>
    <t>平面式276個、機械式45個</t>
    <phoneticPr fontId="2" type="noConversion"/>
  </si>
  <si>
    <t>50元/坪/月</t>
    <phoneticPr fontId="2" type="noConversion"/>
  </si>
  <si>
    <t>1390.39坪</t>
    <phoneticPr fontId="2" type="noConversion"/>
  </si>
  <si>
    <t>第五種住宅區</t>
    <phoneticPr fontId="2" type="noConversion"/>
  </si>
  <si>
    <t>(107)桃市都建執照字第會龜01075號</t>
    <phoneticPr fontId="2" type="noConversion"/>
  </si>
  <si>
    <t>拓璞聯合建築師事務所</t>
    <phoneticPr fontId="2" type="noConversion"/>
  </si>
  <si>
    <t>富宇敦峰</t>
  </si>
  <si>
    <t>fig/AiCity-939-富宇敦峰.jpg</t>
    <phoneticPr fontId="3" type="noConversion"/>
  </si>
  <si>
    <t>https://newhouse.591.com.tw/home/housing/detail?hid=116430&amp;v=720</t>
    <phoneticPr fontId="3" type="noConversion"/>
  </si>
  <si>
    <t>30~32萬元/坪</t>
  </si>
  <si>
    <t>38~42 萬/坪</t>
    <phoneticPr fontId="2" type="noConversion"/>
  </si>
  <si>
    <t>富宇敦峰住戶社團</t>
    <phoneticPr fontId="2" type="noConversion"/>
  </si>
  <si>
    <t>https://www.facebook.com/groups/124542338433380</t>
    <phoneticPr fontId="2" type="noConversion"/>
  </si>
  <si>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</si>
  <si>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</si>
  <si>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</si>
  <si>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</si>
  <si>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</si>
  <si>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</si>
  <si>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</si>
  <si>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</si>
  <si>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</si>
  <si>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</si>
  <si>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</si>
  <si>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</si>
  <si>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</si>
  <si>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</si>
  <si>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</si>
  <si>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</si>
  <si>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</si>
  <si>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</si>
  <si>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</si>
  <si>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</si>
  <si>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2023Q1</t>
    <phoneticPr fontId="2" type="noConversion"/>
  </si>
  <si>
    <t>二房(21~28坪)、三房(30~46坪)</t>
  </si>
  <si>
    <t>桃園市龜山區文化一路&amp;樂安街路口</t>
  </si>
  <si>
    <t>桃園市龜山區文化一路&amp;文樂路口</t>
  </si>
  <si>
    <t>允泰開發有限公司</t>
  </si>
  <si>
    <t>允泰開發</t>
  </si>
  <si>
    <t>玄泰建設</t>
    <phoneticPr fontId="2" type="noConversion"/>
  </si>
  <si>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</si>
  <si>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</si>
  <si>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</si>
  <si>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</si>
  <si>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</si>
  <si>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</si>
  <si>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</si>
  <si>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</si>
  <si>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</si>
  <si>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</si>
  <si>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</si>
  <si>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</si>
  <si>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</si>
  <si>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和耀恆美</t>
    <phoneticPr fontId="2" type="noConversion"/>
  </si>
  <si>
    <t>fig/AiCity-939-和耀恆美.jpeg</t>
    <phoneticPr fontId="2" type="noConversion"/>
  </si>
  <si>
    <t>https://newhouse.591.com.tw/home/housing/detail?hid=122650&amp;v=720</t>
    <phoneticPr fontId="2" type="noConversion"/>
  </si>
  <si>
    <t>134/291</t>
    <phoneticPr fontId="2" type="noConversion"/>
  </si>
  <si>
    <t>28~33 萬/坪</t>
    <phoneticPr fontId="2" type="noConversion"/>
  </si>
  <si>
    <t>35~40 萬/坪</t>
    <phoneticPr fontId="2" type="noConversion"/>
  </si>
  <si>
    <t>待訂</t>
    <phoneticPr fontId="2" type="noConversion"/>
  </si>
  <si>
    <t>2022年第二季度</t>
    <phoneticPr fontId="2" type="noConversion"/>
  </si>
  <si>
    <t>2022Q2</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</si>
  <si>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</si>
  <si>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</si>
  <si>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</si>
  <si>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</si>
  <si>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</si>
  <si>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</si>
  <si>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</si>
  <si>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</si>
  <si>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</si>
  <si>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</si>
  <si>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1:1.01</t>
    <phoneticPr fontId="2" type="noConversion"/>
  </si>
  <si>
    <t>1309.14坪</t>
    <phoneticPr fontId="2" type="noConversion"/>
  </si>
  <si>
    <t>107桃市都建執照字第00925-01號</t>
    <phoneticPr fontId="2" type="noConversion"/>
  </si>
  <si>
    <t>3.中心商業區</t>
    <phoneticPr fontId="2" type="noConversion"/>
  </si>
  <si>
    <t>允將大作</t>
    <phoneticPr fontId="3" type="noConversion"/>
  </si>
  <si>
    <t>fig/AiCity-939-允將大作.jpg</t>
    <phoneticPr fontId="3" type="noConversion"/>
  </si>
  <si>
    <t>https://newhouse.591.com.tw/home/housing/detail?hid=124450</t>
    <phoneticPr fontId="2" type="noConversion"/>
  </si>
  <si>
    <t>35~38萬元/坪</t>
    <phoneticPr fontId="2" type="noConversion"/>
  </si>
  <si>
    <t>38~43 萬/坪</t>
    <phoneticPr fontId="2" type="noConversion"/>
  </si>
  <si>
    <t>140~210萬</t>
    <phoneticPr fontId="2" type="noConversion"/>
  </si>
  <si>
    <t>2028年第二季度</t>
    <phoneticPr fontId="2" type="noConversion"/>
  </si>
  <si>
    <t>202５Q2</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</si>
  <si>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</si>
  <si>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</si>
  <si>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</si>
  <si>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</si>
  <si>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</si>
  <si>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</si>
  <si>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</si>
  <si>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</si>
  <si>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</si>
  <si>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</si>
  <si>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</si>
  <si>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</si>
  <si>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1554.48坪</t>
    <phoneticPr fontId="2" type="noConversion"/>
  </si>
  <si>
    <t>中心商業區</t>
    <phoneticPr fontId="2" type="noConversion"/>
  </si>
  <si>
    <t>106桃市都建執照字第00391-01號</t>
    <phoneticPr fontId="2" type="noConversion"/>
  </si>
  <si>
    <t>欣時代</t>
  </si>
  <si>
    <t>fig/AiCity-939-欣時代.jpg</t>
    <phoneticPr fontId="3" type="noConversion"/>
  </si>
  <si>
    <t>https://newhouse.591.com.tw/home/housing/detail?hid=118905</t>
    <phoneticPr fontId="3" type="noConversion"/>
  </si>
  <si>
    <t>154/258</t>
    <phoneticPr fontId="2" type="noConversion"/>
  </si>
  <si>
    <r>
      <t>2023</t>
    </r>
    <r>
      <rPr>
        <sz val="11"/>
        <color rgb="FF000000"/>
        <rFont val="PMingLiU"/>
        <family val="1"/>
        <charset val="136"/>
      </rPr>
      <t>年下半年</t>
    </r>
    <phoneticPr fontId="3" type="noConversion"/>
  </si>
  <si>
    <t>2023Q4</t>
    <phoneticPr fontId="2" type="noConversion"/>
  </si>
  <si>
    <t>三房(31~35坪) 、2+1房(26~29坪)</t>
  </si>
  <si>
    <t>桃園市龜山區文化一路.華亞三路交叉口</t>
  </si>
  <si>
    <t>桃園市龜山區文化一路、文桃路口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</si>
  <si>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</si>
  <si>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</si>
  <si>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</si>
  <si>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</si>
  <si>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</si>
  <si>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</si>
  <si>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</si>
  <si>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</si>
  <si>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</si>
  <si>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</si>
  <si>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</si>
  <si>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</si>
  <si>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</si>
  <si>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新潤翡麗</t>
  </si>
  <si>
    <t>fig/AiCity-939-新潤翡麗.jpg</t>
    <phoneticPr fontId="3" type="noConversion"/>
  </si>
  <si>
    <t>https://newhouse.591.com.tw/home/housing/detail?hid=117434&amp;v=720</t>
    <phoneticPr fontId="3" type="noConversion"/>
  </si>
  <si>
    <t>435/450</t>
    <phoneticPr fontId="2" type="noConversion"/>
  </si>
  <si>
    <t>33~36 萬/坪</t>
    <phoneticPr fontId="2" type="noConversion"/>
  </si>
  <si>
    <t>160~190萬</t>
  </si>
  <si>
    <t>一房(15~17坪) 、二房(22坪) 、三房(26~31坪) 、2+1房(24坪)</t>
  </si>
  <si>
    <t>桃園市龜山區文化一路與華亞三路</t>
  </si>
  <si>
    <t>桃園市龜山區文化一路與華亞二路口</t>
  </si>
  <si>
    <t>新潤建設機構</t>
  </si>
  <si>
    <t>新潤建設</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</si>
  <si>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</si>
  <si>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</si>
  <si>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</si>
  <si>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</si>
  <si>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</si>
  <si>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</si>
  <si>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</si>
  <si>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</si>
  <si>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</si>
  <si>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</si>
  <si>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</si>
  <si>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新潤鉑麗</t>
    <phoneticPr fontId="3" type="noConversion"/>
  </si>
  <si>
    <t>fig/AiCity-939-新潤鉑麗.jpg</t>
    <phoneticPr fontId="3" type="noConversion"/>
  </si>
  <si>
    <t>https://newhouse.591.com.tw/home/housing/detail?hid=119614</t>
    <phoneticPr fontId="2" type="noConversion"/>
  </si>
  <si>
    <t>27~29萬元/坪</t>
    <phoneticPr fontId="2" type="noConversion"/>
  </si>
  <si>
    <t>新潤翡麗住戶天地</t>
    <phoneticPr fontId="2" type="noConversion"/>
  </si>
  <si>
    <t>https://www.facebook.com/groups/321511928734593</t>
    <phoneticPr fontId="2" type="noConversion"/>
  </si>
  <si>
    <t>165~190萬</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</si>
  <si>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</si>
  <si>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</si>
  <si>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</si>
  <si>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</si>
  <si>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</si>
  <si>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</si>
  <si>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</si>
  <si>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</si>
  <si>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</si>
  <si>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</si>
  <si>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第五種住宅區</t>
  </si>
  <si>
    <t>107桃市都建執照字第龜01089-01號</t>
    <phoneticPr fontId="2" type="noConversion"/>
  </si>
  <si>
    <t>蕭家福聯合建築師事務所</t>
    <phoneticPr fontId="2" type="noConversion"/>
  </si>
  <si>
    <t>109桃市都施使字第00666號</t>
    <phoneticPr fontId="2" type="noConversion"/>
  </si>
  <si>
    <t>根津苑</t>
  </si>
  <si>
    <t>fig/AiCity-939-根津苑.jpg</t>
    <phoneticPr fontId="3" type="noConversion"/>
  </si>
  <si>
    <t>https://newhouse.591.com.tw/home/housing/detail?hid=118143&amp;v=720</t>
    <phoneticPr fontId="3" type="noConversion"/>
  </si>
  <si>
    <t>24~26萬元/坪</t>
  </si>
  <si>
    <t>26~28 萬/坪</t>
    <phoneticPr fontId="2" type="noConversion"/>
  </si>
  <si>
    <t>根津苑</t>
    <phoneticPr fontId="2" type="noConversion"/>
  </si>
  <si>
    <t>https://www.facebook.com/%E6%A0%B9%E6%B4%A5%E8%8B%91-102597158541363</t>
    <phoneticPr fontId="2" type="noConversion"/>
  </si>
  <si>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</si>
  <si>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</si>
  <si>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</si>
  <si>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</si>
  <si>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</si>
  <si>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</si>
  <si>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</si>
  <si>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</si>
  <si>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</si>
  <si>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(107)桃市都建執照字第會龜00667號等1個</t>
  </si>
  <si>
    <t>華悅城</t>
    <phoneticPr fontId="3" type="noConversion"/>
  </si>
  <si>
    <t>fig/AiCity-939-華悅城.jpg</t>
    <phoneticPr fontId="3" type="noConversion"/>
  </si>
  <si>
    <t>https://newhouse.591.com.tw/home/housing/detail?hid=120741</t>
    <phoneticPr fontId="2" type="noConversion"/>
  </si>
  <si>
    <t>26~30萬元/坪</t>
    <phoneticPr fontId="2" type="noConversion"/>
  </si>
  <si>
    <t>150~195萬</t>
    <phoneticPr fontId="2" type="noConversion"/>
  </si>
  <si>
    <t>2021年下半年</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</si>
  <si>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</si>
  <si>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</si>
  <si>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</si>
  <si>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</si>
  <si>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</si>
  <si>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</si>
  <si>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</si>
  <si>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</si>
  <si>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</si>
  <si>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</si>
  <si>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</si>
  <si>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</si>
  <si>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</si>
  <si>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</si>
  <si>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富宇悅峰</t>
    <phoneticPr fontId="2" type="noConversion"/>
  </si>
  <si>
    <t>fig/AiCity-939-富宇悅峰.jpg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</si>
  <si>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</si>
  <si>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</si>
  <si>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</si>
  <si>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</si>
  <si>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</si>
  <si>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</si>
  <si>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</si>
  <si>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</si>
  <si>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</si>
  <si>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</si>
  <si>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</si>
  <si>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</si>
  <si>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</si>
  <si>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</si>
  <si>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</si>
  <si>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</si>
  <si>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</si>
  <si>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</si>
  <si>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文化里</t>
    <phoneticPr fontId="2" type="noConversion"/>
  </si>
  <si>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</si>
  <si>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</si>
  <si>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165~185萬</t>
  </si>
  <si>
    <t>已完銷</t>
  </si>
  <si>
    <t>2019Q2</t>
    <phoneticPr fontId="2" type="noConversion"/>
  </si>
  <si>
    <t>二房(27~28坪)、三房(36~43坪)</t>
  </si>
  <si>
    <t>桃園市龜山區華亞三路</t>
  </si>
  <si>
    <t>合遠建設股份有限公司</t>
  </si>
  <si>
    <t>合遠建設</t>
  </si>
  <si>
    <t>盛馨廣告有限公司</t>
  </si>
  <si>
    <t>2棟，112戶住家，4戶店面</t>
  </si>
  <si>
    <t>33.97%</t>
  </si>
  <si>
    <t>平面式104個、機械式14個</t>
  </si>
  <si>
    <t>642.92坪</t>
  </si>
  <si>
    <t>(106)桃市都建執照字第會龜01161-01號等1個</t>
  </si>
  <si>
    <t>閤康聯合建築師事務所</t>
  </si>
  <si>
    <t>友文化</t>
    <phoneticPr fontId="3" type="noConversion"/>
  </si>
  <si>
    <t>fig/AiCity-939-友文化.jpg</t>
    <phoneticPr fontId="3" type="noConversion"/>
  </si>
  <si>
    <t>https://newhouse.591.com.tw/home/housing/info?hid=121155</t>
    <phoneticPr fontId="2" type="noConversion"/>
  </si>
  <si>
    <t>30~31萬元/坪</t>
    <phoneticPr fontId="2" type="noConversion"/>
  </si>
  <si>
    <t>28萬元/坪</t>
    <phoneticPr fontId="2" type="noConversion"/>
  </si>
  <si>
    <t>友文化</t>
    <phoneticPr fontId="2" type="noConversion"/>
  </si>
  <si>
    <t>https://www.facebook.com/groups/710305099774047</t>
    <phoneticPr fontId="2" type="noConversion"/>
  </si>
  <si>
    <t>195~215萬</t>
    <phoneticPr fontId="2" type="noConversion"/>
  </si>
  <si>
    <t>2021Q3</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</si>
  <si>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</si>
  <si>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</si>
  <si>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</si>
  <si>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合遠建設股份有限公司</t>
    <phoneticPr fontId="2" type="noConversion"/>
  </si>
  <si>
    <t>合遠建設</t>
    <phoneticPr fontId="2" type="noConversion"/>
  </si>
  <si>
    <t>新高智廣告</t>
    <phoneticPr fontId="2" type="noConversion"/>
  </si>
  <si>
    <t>近捷運、景觀宅、近公園、重劃區、低首付</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</si>
  <si>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</si>
  <si>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</si>
  <si>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</si>
  <si>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</si>
  <si>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蔡智勸建築師事務所</t>
    <phoneticPr fontId="2" type="noConversion"/>
  </si>
  <si>
    <t>水悅青青</t>
    <phoneticPr fontId="2" type="noConversion"/>
  </si>
  <si>
    <t>fig/AiCity-939-水悅青青.webp</t>
    <phoneticPr fontId="2" type="noConversion"/>
  </si>
  <si>
    <t>https://newhouse.591.com.tw/home/housing/detail?hid=125625</t>
    <phoneticPr fontId="2" type="noConversion"/>
  </si>
  <si>
    <t>104/211</t>
    <phoneticPr fontId="2" type="noConversion"/>
  </si>
  <si>
    <t>29~31 萬/坪</t>
    <phoneticPr fontId="2" type="noConversion"/>
  </si>
  <si>
    <t>34~39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</si>
  <si>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</si>
  <si>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</si>
  <si>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</si>
  <si>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</si>
  <si>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</si>
  <si>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</si>
  <si>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</si>
  <si>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</si>
  <si>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</si>
  <si>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</si>
  <si>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</si>
  <si>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</si>
  <si>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</si>
  <si>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文華天際</t>
    <phoneticPr fontId="2" type="noConversion"/>
  </si>
  <si>
    <t>fig/AiCity-939-文華天際.png</t>
    <phoneticPr fontId="2" type="noConversion"/>
  </si>
  <si>
    <t>https://newhouse.591.com.tw/home/housing/detail?hid=127139</t>
    <phoneticPr fontId="2" type="noConversion"/>
  </si>
  <si>
    <t>634/486</t>
    <phoneticPr fontId="2" type="noConversion"/>
  </si>
  <si>
    <t xml:space="preserve">27 萬/坪 </t>
    <phoneticPr fontId="2" type="noConversion"/>
  </si>
  <si>
    <t>32~34 萬/坪</t>
    <phoneticPr fontId="2" type="noConversion"/>
  </si>
  <si>
    <t>115~217萬</t>
    <phoneticPr fontId="2" type="noConversion"/>
  </si>
  <si>
    <t>尚未開賣</t>
    <phoneticPr fontId="2" type="noConversion"/>
  </si>
  <si>
    <t>2024年第二季度</t>
    <phoneticPr fontId="2" type="noConversion"/>
  </si>
  <si>
    <t>2024Q2</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</si>
  <si>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</si>
  <si>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</si>
  <si>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</si>
  <si>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</si>
  <si>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</si>
  <si>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</si>
  <si>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地上22層，地下4層</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</si>
  <si>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</si>
  <si>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</si>
  <si>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</si>
  <si>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</si>
  <si>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4.文青國小生活圈</t>
    <phoneticPr fontId="2" type="noConversion"/>
  </si>
  <si>
    <t>竹城甲子園</t>
  </si>
  <si>
    <t>fig/AiCity-939-竹城甲子園.jpg</t>
    <phoneticPr fontId="3" type="noConversion"/>
  </si>
  <si>
    <t>https://newhouse.591.com.tw/home/housing/detail?hid=119261&amp;v=720</t>
    <phoneticPr fontId="3" type="noConversion"/>
  </si>
  <si>
    <t>104/1209</t>
    <phoneticPr fontId="2" type="noConversion"/>
  </si>
  <si>
    <t>38~41 萬/坪</t>
    <phoneticPr fontId="2" type="noConversion"/>
  </si>
  <si>
    <t>竹城甲子園住戶交流區</t>
    <phoneticPr fontId="2" type="noConversion"/>
  </si>
  <si>
    <t>https://www.facebook.com/groups/1127911624065990</t>
    <phoneticPr fontId="2" type="noConversion"/>
  </si>
  <si>
    <t>2021年下半度</t>
  </si>
  <si>
    <t>二房(26~28坪) 、三房(36~39坪) 、四房(43~49坪) 、2+1房(26~29坪)</t>
  </si>
  <si>
    <t>桃園市龜山區文化一路588號</t>
  </si>
  <si>
    <t>竹城建設股份有限公司</t>
  </si>
  <si>
    <t>竹城建設</t>
  </si>
  <si>
    <t>大裕營造有限公司</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</si>
  <si>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</si>
  <si>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</si>
  <si>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</si>
  <si>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</si>
  <si>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</si>
  <si>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</si>
  <si>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</si>
  <si>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</si>
  <si>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</si>
  <si>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金捷市</t>
  </si>
  <si>
    <t>fig/AiCity-939-金捷市.jpg</t>
    <phoneticPr fontId="3" type="noConversion"/>
  </si>
  <si>
    <t>https://newhouse.591.com.tw/home/housing/detail?hid=116107&amp;v=720</t>
    <phoneticPr fontId="3" type="noConversion"/>
  </si>
  <si>
    <t>30.5萬元/坪</t>
  </si>
  <si>
    <t>金捷市準鄰居交流園地</t>
    <phoneticPr fontId="2" type="noConversion"/>
  </si>
  <si>
    <t>https://www.facebook.com/groups/238626460426128</t>
    <phoneticPr fontId="2" type="noConversion"/>
  </si>
  <si>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</si>
  <si>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</si>
  <si>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</si>
  <si>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</si>
  <si>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</si>
  <si>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</si>
  <si>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</si>
  <si>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</si>
  <si>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</si>
  <si>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</si>
  <si>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</si>
  <si>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</si>
  <si>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捷市達</t>
    <phoneticPr fontId="2" type="noConversion"/>
  </si>
  <si>
    <t>fig/AiCity-939-鴻築捷市達.jpg</t>
    <phoneticPr fontId="3" type="noConversion"/>
  </si>
  <si>
    <t>https://newhouse.591.com.tw/home/housing/detail?hid=122649&amp;v=720</t>
    <phoneticPr fontId="3" type="noConversion"/>
  </si>
  <si>
    <t>35~38萬元/坪</t>
  </si>
  <si>
    <t>45~48 萬/坪</t>
    <phoneticPr fontId="2" type="noConversion"/>
  </si>
  <si>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</si>
  <si>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</si>
  <si>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</si>
  <si>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</si>
  <si>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</si>
  <si>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</si>
  <si>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</si>
  <si>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</si>
  <si>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</si>
  <si>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</si>
  <si>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</si>
  <si>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</si>
  <si>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</si>
  <si>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</si>
  <si>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詠勝市中欣</t>
  </si>
  <si>
    <t>fig/AiCity-939-詠勝市中欣.jpg</t>
    <phoneticPr fontId="3" type="noConversion"/>
  </si>
  <si>
    <t>https://newhouse.591.com.tw/home/housing/detail?hid=120096&amp;v=720</t>
    <phoneticPr fontId="3" type="noConversion"/>
  </si>
  <si>
    <t>27~32萬元/坪</t>
  </si>
  <si>
    <t>24~25 萬/坪</t>
    <phoneticPr fontId="2" type="noConversion"/>
  </si>
  <si>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</si>
  <si>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</si>
  <si>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</si>
  <si>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</si>
  <si>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</si>
  <si>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</si>
  <si>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</si>
  <si>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</si>
  <si>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</si>
  <si>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</si>
  <si>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</si>
  <si>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</si>
  <si>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</si>
  <si>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</si>
  <si>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</si>
  <si>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</si>
  <si>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</si>
  <si>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新A7</t>
    <phoneticPr fontId="3" type="noConversion"/>
  </si>
  <si>
    <t>fig/AiCity-939-新A7.jpg</t>
    <phoneticPr fontId="3" type="noConversion"/>
  </si>
  <si>
    <t>https://newhouse.591.com.tw/home/housing/detail?hid=122651</t>
    <phoneticPr fontId="2" type="noConversion"/>
  </si>
  <si>
    <t>130/374</t>
    <phoneticPr fontId="2" type="noConversion"/>
  </si>
  <si>
    <t>31~33萬元/坪</t>
    <phoneticPr fontId="2" type="noConversion"/>
  </si>
  <si>
    <t>32~35 萬/坪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</si>
  <si>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</si>
  <si>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</si>
  <si>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</si>
  <si>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</si>
  <si>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</si>
  <si>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</si>
  <si>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</si>
  <si>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</si>
  <si>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近捷運、明星學區、近公園、重劃區</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</si>
  <si>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</si>
  <si>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</si>
  <si>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</si>
  <si>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</si>
  <si>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</si>
  <si>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富御捷境</t>
  </si>
  <si>
    <t>fig/AiCity-939-富御捷境.jpg</t>
    <phoneticPr fontId="3" type="noConversion"/>
  </si>
  <si>
    <t>https://newhouse.591.com.tw/home/housing/detail?hid=116475</t>
    <phoneticPr fontId="3" type="noConversion"/>
  </si>
  <si>
    <t>30~32 萬/坪</t>
    <phoneticPr fontId="2" type="noConversion"/>
  </si>
  <si>
    <t>A7 富御捷境好鄰居交流團</t>
    <phoneticPr fontId="2" type="noConversion"/>
  </si>
  <si>
    <t>https://www.facebook.com/groups/1970564956581068</t>
    <phoneticPr fontId="2" type="noConversion"/>
  </si>
  <si>
    <t>195~200萬</t>
    <phoneticPr fontId="2" type="noConversion"/>
  </si>
  <si>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</si>
  <si>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</si>
  <si>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</si>
  <si>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</si>
  <si>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</si>
  <si>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</si>
  <si>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</si>
  <si>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</si>
  <si>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</si>
  <si>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</si>
  <si>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</si>
  <si>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1359.03坪</t>
  </si>
  <si>
    <t>(106)桃市都建執照字第會龜01237 號等1個</t>
  </si>
  <si>
    <t>富宇哈佛苑</t>
    <phoneticPr fontId="2" type="noConversion"/>
  </si>
  <si>
    <t>fig/AiCity-939-富宇哈佛苑.jpg</t>
    <phoneticPr fontId="3" type="noConversion"/>
  </si>
  <si>
    <t>https://newhouse.591.com.tw/home/housing/detail?hid=121157&amp;v=720</t>
    <phoneticPr fontId="3" type="noConversion"/>
  </si>
  <si>
    <t>89/491</t>
    <phoneticPr fontId="2"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</si>
  <si>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</si>
  <si>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</si>
  <si>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</si>
  <si>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</si>
  <si>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</si>
  <si>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</si>
  <si>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</si>
  <si>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</si>
  <si>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</si>
  <si>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</si>
  <si>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</si>
  <si>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頤昌豐岳</t>
    <phoneticPr fontId="3" type="noConversion"/>
  </si>
  <si>
    <t>fig/AiCity-939-頤昌豐岳.jpg</t>
    <phoneticPr fontId="3"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</si>
  <si>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</si>
  <si>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</si>
  <si>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</si>
  <si>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</si>
  <si>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</si>
  <si>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</si>
  <si>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</si>
  <si>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</si>
  <si>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</si>
  <si>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</si>
  <si>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</si>
  <si>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</si>
  <si>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平面式190個</t>
    <phoneticPr fontId="2" type="noConversion"/>
  </si>
  <si>
    <t>1:1.17</t>
    <phoneticPr fontId="2" type="noConversion"/>
  </si>
  <si>
    <t>933.78坪</t>
    <phoneticPr fontId="2" type="noConversion"/>
  </si>
  <si>
    <t>第三種住宅區</t>
    <phoneticPr fontId="2" type="noConversion"/>
  </si>
  <si>
    <t>108桃市都建執照字第01005-01號</t>
    <phoneticPr fontId="2" type="noConversion"/>
  </si>
  <si>
    <t>陳朝雄建築師事務所</t>
    <phoneticPr fontId="2" type="noConversion"/>
  </si>
  <si>
    <t>新未來2</t>
    <phoneticPr fontId="3" type="noConversion"/>
  </si>
  <si>
    <t>fig/AiCity-939-新未來2.jpg</t>
    <phoneticPr fontId="3"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</si>
  <si>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</si>
  <si>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</si>
  <si>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</si>
  <si>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</si>
  <si>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</si>
  <si>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</si>
  <si>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</si>
  <si>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</si>
  <si>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</si>
  <si>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</si>
  <si>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</si>
  <si>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2棟，376戶住家，9戶店面</t>
    <phoneticPr fontId="2" type="noConversion"/>
  </si>
  <si>
    <t>平面式438個</t>
    <phoneticPr fontId="2" type="noConversion"/>
  </si>
  <si>
    <t>1955.56坪</t>
    <phoneticPr fontId="2" type="noConversion"/>
  </si>
  <si>
    <t>(107)桃市字第會龜00687號</t>
    <phoneticPr fontId="2" type="noConversion"/>
  </si>
  <si>
    <t>李祖原聯合建築師事務所</t>
    <phoneticPr fontId="2"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</si>
  <si>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</si>
  <si>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</si>
  <si>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</si>
  <si>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</si>
  <si>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</si>
  <si>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</si>
  <si>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</si>
  <si>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</si>
  <si>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2幢，3棟，582戶住家，16戶店面</t>
    <phoneticPr fontId="2" type="noConversion"/>
  </si>
  <si>
    <t>地上19、22層，地下5層</t>
    <phoneticPr fontId="2" type="noConversion"/>
  </si>
  <si>
    <t>平面式598個</t>
    <phoneticPr fontId="2" type="noConversion"/>
  </si>
  <si>
    <t>2513.22坪</t>
    <phoneticPr fontId="2" type="noConversion"/>
  </si>
  <si>
    <t>109桃市都建執照字第00076號</t>
    <phoneticPr fontId="2" type="noConversion"/>
  </si>
  <si>
    <t>三門聯合建築師事務所</t>
    <phoneticPr fontId="2" type="noConversion"/>
  </si>
  <si>
    <t>和洲金剛</t>
  </si>
  <si>
    <t>fig/AiCity-939-和洲金剛.jpg</t>
    <phoneticPr fontId="3" type="noConversion"/>
  </si>
  <si>
    <t>https://newhouse.591.com.tw/home/housing/detail?hid=122486&amp;v=720</t>
    <phoneticPr fontId="3" type="noConversion"/>
  </si>
  <si>
    <t>143/221</t>
    <phoneticPr fontId="2"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</si>
  <si>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</si>
  <si>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</si>
  <si>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</si>
  <si>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</si>
  <si>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</si>
  <si>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</si>
  <si>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</si>
  <si>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</si>
  <si>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</si>
  <si>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</si>
  <si>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</si>
  <si>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第三種住宅區</t>
  </si>
  <si>
    <t>國原保全</t>
  </si>
  <si>
    <t>108桃市都建執照字第00611號等1個</t>
  </si>
  <si>
    <t>君邑丘比特</t>
    <phoneticPr fontId="3" type="noConversion"/>
  </si>
  <si>
    <t>fig/AiCity-939-邱比特.jpg</t>
    <phoneticPr fontId="3" type="noConversion"/>
  </si>
  <si>
    <t>https://newhouse.591.com.tw/home/housing/detail?hid=121781&amp;</t>
    <phoneticPr fontId="3" type="noConversion"/>
  </si>
  <si>
    <t>165/178</t>
    <phoneticPr fontId="2" type="noConversion"/>
  </si>
  <si>
    <t>27.8~32萬元/坪</t>
    <phoneticPr fontId="3" type="noConversion"/>
  </si>
  <si>
    <t>29.8~38.2 萬/坪</t>
    <phoneticPr fontId="2" type="noConversion"/>
  </si>
  <si>
    <t>180~230萬</t>
    <phoneticPr fontId="3" type="noConversion"/>
  </si>
  <si>
    <t>2022年上半年</t>
    <phoneticPr fontId="3" type="noConversion"/>
  </si>
  <si>
    <t>二房(25~28坪) 、三房(38~40坪) 、四房(47坪) 、3+1房(46坪)</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</si>
  <si>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</si>
  <si>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</si>
  <si>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</si>
  <si>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</si>
  <si>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</si>
  <si>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</si>
  <si>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</si>
  <si>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</si>
  <si>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</si>
  <si>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</si>
  <si>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</si>
  <si>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1:1.07</t>
    <phoneticPr fontId="2" type="noConversion"/>
  </si>
  <si>
    <t>1030.74坪</t>
    <phoneticPr fontId="3" type="noConversion"/>
  </si>
  <si>
    <t>108桃市都建執照字第00488-01號等1個</t>
    <phoneticPr fontId="3" type="noConversion"/>
  </si>
  <si>
    <t>拓璞聯合建築師事務所</t>
    <phoneticPr fontId="3" type="noConversion"/>
  </si>
  <si>
    <t>頤昌璞岳</t>
    <phoneticPr fontId="2" type="noConversion"/>
  </si>
  <si>
    <t>fig/AiCity-939-頤昌璞岳.jpeg</t>
    <phoneticPr fontId="2" type="noConversion"/>
  </si>
  <si>
    <t>https://newhouse.591.com.tw/home/housing/detail?hid=124978</t>
    <phoneticPr fontId="2" type="noConversion"/>
  </si>
  <si>
    <t>32~33 萬/坪</t>
    <phoneticPr fontId="2" type="noConversion"/>
  </si>
  <si>
    <t>已完銷</t>
    <phoneticPr fontId="2" type="noConversion"/>
  </si>
  <si>
    <t>2022年第三季度</t>
    <phoneticPr fontId="2" type="noConversion"/>
  </si>
  <si>
    <t>2022Q3</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</si>
  <si>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</si>
  <si>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</si>
  <si>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</si>
  <si>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</si>
  <si>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</si>
  <si>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</si>
  <si>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地上14層，地下4層</t>
    <phoneticPr fontId="2" type="noConversion"/>
  </si>
  <si>
    <t>平面式136個</t>
    <phoneticPr fontId="2" type="noConversion"/>
  </si>
  <si>
    <t>595.29坪</t>
    <phoneticPr fontId="2" type="noConversion"/>
  </si>
  <si>
    <t>109桃市都建執照字第00379-01號</t>
    <phoneticPr fontId="2" type="noConversion"/>
  </si>
  <si>
    <t>閤康聯合建築師事務所</t>
    <phoneticPr fontId="2" type="noConversion"/>
  </si>
  <si>
    <t>合謙學</t>
    <phoneticPr fontId="2" type="noConversion"/>
  </si>
  <si>
    <t>fig/AiCity-939-合謙學.webp</t>
    <phoneticPr fontId="2" type="noConversion"/>
  </si>
  <si>
    <t>https://newhouse.591.com.tw/home/housing/detail?hid=126450</t>
    <phoneticPr fontId="2" type="noConversion"/>
  </si>
  <si>
    <t>35~42 萬/坪</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</si>
  <si>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</si>
  <si>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</si>
  <si>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</si>
  <si>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</si>
  <si>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</si>
  <si>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</si>
  <si>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</si>
  <si>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</si>
  <si>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</si>
  <si>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70元/坪/月</t>
    <phoneticPr fontId="2" type="noConversion"/>
  </si>
  <si>
    <t>1:0.91</t>
    <phoneticPr fontId="2" type="noConversion"/>
  </si>
  <si>
    <t>1030.74坪</t>
    <phoneticPr fontId="2" type="noConversion"/>
  </si>
  <si>
    <t>住家用</t>
    <phoneticPr fontId="2" type="noConversion"/>
  </si>
  <si>
    <t>大亮時代A7</t>
    <phoneticPr fontId="2" type="noConversion"/>
  </si>
  <si>
    <t>fig/AiCity-939-大亮時代A7.jpeg</t>
    <phoneticPr fontId="2" type="noConversion"/>
  </si>
  <si>
    <t>https://newhouse.591.com.tw/home/housing/detail?hid=125949</t>
    <phoneticPr fontId="2" type="noConversion"/>
  </si>
  <si>
    <t>129/135</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</si>
  <si>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</si>
  <si>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</si>
  <si>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</si>
  <si>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</si>
  <si>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</si>
  <si>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</si>
  <si>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</si>
  <si>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</si>
  <si>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</si>
  <si>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</si>
  <si>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</si>
  <si>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</si>
  <si>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</si>
  <si>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</si>
  <si>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</si>
  <si>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</si>
  <si>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110桃市都建執照字第00147號</t>
    <phoneticPr fontId="2" type="noConversion"/>
  </si>
  <si>
    <t>王成維建築師事務所</t>
    <phoneticPr fontId="2" type="noConversion"/>
  </si>
  <si>
    <t>維特魯威</t>
    <phoneticPr fontId="2" type="noConversion"/>
  </si>
  <si>
    <t>fig/AiCity-939-維特魯威.jpg</t>
    <phoneticPr fontId="2" type="noConversion"/>
  </si>
  <si>
    <t>https://newhouse.591.com.tw/home/housing/detail?hid=128903</t>
    <phoneticPr fontId="2" type="noConversion"/>
  </si>
  <si>
    <t>92/136</t>
    <phoneticPr fontId="2" type="noConversion"/>
  </si>
  <si>
    <t>37.8~45.5 萬/坪</t>
    <phoneticPr fontId="2" type="noConversion"/>
  </si>
  <si>
    <t>2024年第四季度</t>
    <phoneticPr fontId="2" type="noConversion"/>
  </si>
  <si>
    <t>2024Q4</t>
    <phoneticPr fontId="2" type="noConversion"/>
  </si>
  <si>
    <t>二房(27~30坪) 、 三房(33.5~41坪) 、 四房(46、47坪)</t>
    <phoneticPr fontId="2" type="noConversion"/>
  </si>
  <si>
    <t>桃園市龜山區文桃路、牛角坡路交叉口</t>
    <phoneticPr fontId="2" type="noConversion"/>
  </si>
  <si>
    <t>桃園市龜山區文吉路旁</t>
    <phoneticPr fontId="2" type="noConversion"/>
  </si>
  <si>
    <t>法邑建設有限公司</t>
    <phoneticPr fontId="2" type="noConversion"/>
  </si>
  <si>
    <t>法邑建設</t>
    <phoneticPr fontId="2" type="noConversion"/>
  </si>
  <si>
    <t>捷堡營造工程有限公司</t>
    <phoneticPr fontId="2" type="noConversion"/>
  </si>
  <si>
    <t>埜揚廣告有限公司</t>
    <phoneticPr fontId="2" type="noConversion"/>
  </si>
  <si>
    <t>1幢，1棟，123戶住家，3戶店面，10戶一般事務所</t>
    <phoneticPr fontId="2" type="noConversion"/>
  </si>
  <si>
    <t>地上28層，地下5層</t>
    <phoneticPr fontId="2" type="noConversion"/>
  </si>
  <si>
    <t>平面式140個</t>
    <phoneticPr fontId="2" type="noConversion"/>
  </si>
  <si>
    <t>60元/坪/月</t>
    <phoneticPr fontId="2" type="noConversion"/>
  </si>
  <si>
    <t>1:1.02</t>
    <phoneticPr fontId="2" type="noConversion"/>
  </si>
  <si>
    <t>586.6坪</t>
    <phoneticPr fontId="2" type="noConversion"/>
  </si>
  <si>
    <t>106桃市都建執照字第01039-02號</t>
    <phoneticPr fontId="2" type="noConversion"/>
  </si>
  <si>
    <t>頤昌澄岳</t>
    <phoneticPr fontId="2" type="noConversion"/>
  </si>
  <si>
    <t>fig/AiCity-939-頤昌澄岳.jpg</t>
    <phoneticPr fontId="2" type="noConversion"/>
  </si>
  <si>
    <t>https://newhouse.591.com.tw/home/housing/detail?hid=128885&amp;v=720</t>
    <phoneticPr fontId="2" type="noConversion"/>
  </si>
  <si>
    <t>39~40 萬/坪</t>
    <phoneticPr fontId="2" type="noConversion"/>
  </si>
  <si>
    <t>175~210萬</t>
    <phoneticPr fontId="2" type="noConversion"/>
  </si>
  <si>
    <t>二房(23坪) 、 三房(29~38坪) 、 2+1房(25坪)</t>
    <phoneticPr fontId="2" type="noConversion"/>
  </si>
  <si>
    <t>桃園市龜山區樂學一路、樂學二路交叉口</t>
    <phoneticPr fontId="2" type="noConversion"/>
  </si>
  <si>
    <t>桃園市龜山區樂學二路、樂學三路交叉口</t>
    <phoneticPr fontId="2" type="noConversion"/>
  </si>
  <si>
    <t>1幢，2棟，140戶住家，8戶店面</t>
    <phoneticPr fontId="2" type="noConversion"/>
  </si>
  <si>
    <t>平面式145個</t>
    <phoneticPr fontId="2" type="noConversion"/>
  </si>
  <si>
    <t>1:0.97</t>
    <phoneticPr fontId="2" type="noConversion"/>
  </si>
  <si>
    <t>665.31坪</t>
    <phoneticPr fontId="2" type="noConversion"/>
  </si>
  <si>
    <t>110桃市都建執照字第00808號</t>
    <phoneticPr fontId="2" type="noConversion"/>
  </si>
  <si>
    <t>5.合宜住宅區</t>
    <phoneticPr fontId="2" type="noConversion"/>
  </si>
  <si>
    <t>新未來1</t>
    <phoneticPr fontId="3" type="noConversion"/>
  </si>
  <si>
    <t>fig/AiCity-939-新未來1.jpg</t>
    <phoneticPr fontId="3" type="noConversion"/>
  </si>
  <si>
    <t>https://newhouse.591.com.tw/home/housing/detail?hid=113056</t>
    <phoneticPr fontId="2" type="noConversion"/>
  </si>
  <si>
    <t>A7 遠雄新未來1 幸福住戶討論區</t>
    <phoneticPr fontId="2" type="noConversion"/>
  </si>
  <si>
    <t>https://www.facebook.com/groups/254570162464632</t>
  </si>
  <si>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</si>
  <si>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</si>
  <si>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</si>
  <si>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</si>
  <si>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平面式648個、機械式84個</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</si>
  <si>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</si>
  <si>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</si>
  <si>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</si>
  <si>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</si>
  <si>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文青里</t>
    <phoneticPr fontId="2"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</si>
  <si>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</si>
  <si>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</si>
  <si>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https://newhouse.591.com.tw/home/housing/detail?hid=121159&amp;v=720</t>
    <phoneticPr fontId="2" type="noConversion"/>
  </si>
  <si>
    <t>39~43萬元/坪</t>
    <phoneticPr fontId="2" type="noConversion"/>
  </si>
  <si>
    <t>45~50 萬/坪</t>
    <phoneticPr fontId="2" type="noConversion"/>
  </si>
  <si>
    <t>160~205萬</t>
    <phoneticPr fontId="2" type="noConversion"/>
  </si>
  <si>
    <t>2023年第二季度</t>
    <phoneticPr fontId="2" type="noConversion"/>
  </si>
  <si>
    <t>2023Q2</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</si>
  <si>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</si>
  <si>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</si>
  <si>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</si>
  <si>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</si>
  <si>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</si>
  <si>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</si>
  <si>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</si>
  <si>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</si>
  <si>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</si>
  <si>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</si>
  <si>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</si>
  <si>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</si>
  <si>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</si>
  <si>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竹城明治</t>
  </si>
  <si>
    <t>fig/AiCity-939-竹城明治.jpg</t>
    <phoneticPr fontId="3" type="noConversion"/>
  </si>
  <si>
    <t>https://newhouse.591.com.tw/home/housing/detail?hid=120762</t>
    <phoneticPr fontId="3" type="noConversion"/>
  </si>
  <si>
    <t>28~30萬元/坪</t>
  </si>
  <si>
    <t>2020Q1</t>
    <phoneticPr fontId="2" type="noConversion"/>
  </si>
  <si>
    <t>二房(25~28坪) 、三房(34~40坪) 、四房(43坪)</t>
  </si>
  <si>
    <t>桃園市龜山區文青路363號對面</t>
  </si>
  <si>
    <t>桃園市龜山區文青路378號</t>
  </si>
  <si>
    <t>自建自售</t>
  </si>
  <si>
    <t>1幢，6棟，168戶住家，5戶店面</t>
  </si>
  <si>
    <t>45.56%</t>
  </si>
  <si>
    <t>地上13層，地下3層</t>
  </si>
  <si>
    <t>平面式81個、機械式68個</t>
  </si>
  <si>
    <t>961.25坪</t>
  </si>
  <si>
    <t>(107)桃市都建執照字第會龜00995-01號等1個</t>
  </si>
  <si>
    <t>109桃市都施使字第龜00492號</t>
  </si>
  <si>
    <t>竹城宇治</t>
    <phoneticPr fontId="2" type="noConversion"/>
  </si>
  <si>
    <t>fig/AiCity-939-竹城宇治.jpg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</si>
  <si>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</si>
  <si>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</si>
  <si>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</si>
  <si>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</si>
  <si>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</si>
  <si>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</si>
  <si>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</si>
  <si>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</si>
  <si>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</si>
  <si>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</si>
  <si>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</si>
  <si>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</si>
  <si>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</si>
  <si>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</si>
  <si>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</si>
  <si>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櫻花澍</t>
    <phoneticPr fontId="2" type="noConversion"/>
  </si>
  <si>
    <t>fig/AiCity-939-櫻花澍.webp</t>
    <phoneticPr fontId="2" type="noConversion"/>
  </si>
  <si>
    <t>https://newhouse.591.com.tw/home/housing/detail?hid=124447</t>
    <phoneticPr fontId="2" type="noConversion"/>
  </si>
  <si>
    <t>28~32 萬/坪</t>
    <phoneticPr fontId="2" type="noConversion"/>
  </si>
  <si>
    <t>A7櫻花澍已購戶討論區</t>
    <phoneticPr fontId="2" type="noConversion"/>
  </si>
  <si>
    <t>https://www.facebook.com/groups/1271297159886163</t>
    <phoneticPr fontId="2" type="noConversion"/>
  </si>
  <si>
    <t>165~195萬</t>
    <phoneticPr fontId="2" type="noConversion"/>
  </si>
  <si>
    <t>二房(25坪) 、 三房(35坪)</t>
    <phoneticPr fontId="2" type="noConversion"/>
  </si>
  <si>
    <t>桃園市龜山區文青二路</t>
    <phoneticPr fontId="2" type="noConversion"/>
  </si>
  <si>
    <t xml:space="preserve">桃園市龜山區文青路179號1F </t>
    <phoneticPr fontId="2" type="noConversion"/>
  </si>
  <si>
    <t>櫻花建設股份有限公司</t>
    <phoneticPr fontId="2" type="noConversion"/>
  </si>
  <si>
    <t>櫻花建設</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</si>
  <si>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</si>
  <si>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</si>
  <si>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</si>
  <si>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</si>
  <si>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</si>
  <si>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</si>
  <si>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</si>
  <si>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遠雄文青</t>
    <phoneticPr fontId="2" type="noConversion"/>
  </si>
  <si>
    <t>fig/AiCity-939-遠雄文青.jpg</t>
    <phoneticPr fontId="2" type="noConversion"/>
  </si>
  <si>
    <t>https://www.farglory-land.com.tw/leasehold/%E9%81%A0%E9%9B%84%E6%99%82%E4%BB%A3%E7%B8%BD%E9%83%A8-2/</t>
    <phoneticPr fontId="2" type="noConversion"/>
  </si>
  <si>
    <t>2021/8:22.7萬元/坪</t>
    <phoneticPr fontId="2" type="noConversion"/>
  </si>
  <si>
    <t>A7 遠雄文青 住戶討論區</t>
    <phoneticPr fontId="2" type="noConversion"/>
  </si>
  <si>
    <t>https://www.facebook.com/groups/675455015969962</t>
    <phoneticPr fontId="2" type="noConversion"/>
  </si>
  <si>
    <t>2016Q4</t>
    <phoneticPr fontId="2" type="noConversion"/>
  </si>
  <si>
    <t>桃園市龜山區文青路179號</t>
    <phoneticPr fontId="2" type="noConversion"/>
  </si>
  <si>
    <t>皇翔歡喜城</t>
    <phoneticPr fontId="2" type="noConversion"/>
  </si>
  <si>
    <t>fig/AiCity-939-皇翔歡喜城.jpg</t>
    <phoneticPr fontId="2" type="noConversion"/>
  </si>
  <si>
    <t>https://www.uppercity.tw/</t>
    <phoneticPr fontId="2" type="noConversion"/>
  </si>
  <si>
    <t>2021/8:20.0萬元/坪</t>
    <phoneticPr fontId="2" type="noConversion"/>
  </si>
  <si>
    <t>A7皇翔歡喜城</t>
    <phoneticPr fontId="2" type="noConversion"/>
  </si>
  <si>
    <t>https://www.facebook.com/groups/521969711190884</t>
    <phoneticPr fontId="2" type="noConversion"/>
  </si>
  <si>
    <t>園市龜山區文青二路9-11號</t>
    <phoneticPr fontId="2" type="noConversion"/>
  </si>
  <si>
    <t>皇翔建設</t>
    <phoneticPr fontId="2" type="noConversion"/>
  </si>
  <si>
    <t>名軒快樂家</t>
    <phoneticPr fontId="2" type="noConversion"/>
  </si>
  <si>
    <t>fig/AiCity-939-名軒快樂家.jpg</t>
    <phoneticPr fontId="2" type="noConversion"/>
  </si>
  <si>
    <t>https://www.advancetek.com.tw/%E7%86%B1%E9%8A%B7%E5%80%8B%E6%A1%88/%E5%90%8D%E8%BB%92%E5%BF%AB%E6%A8%82%E5%AE%B6%E5%90%88%E5%AE%9C%E4%BD%8F%E5%AE%85a7_c%E5%9F%BA%E5%9C%B0/</t>
    <phoneticPr fontId="2" type="noConversion"/>
  </si>
  <si>
    <t>2021/8:21.7萬元/坪</t>
    <phoneticPr fontId="2" type="noConversion"/>
  </si>
  <si>
    <t>名軒快樂家-住戶專區</t>
    <phoneticPr fontId="2" type="noConversion"/>
  </si>
  <si>
    <t>https://www.facebook.com/groups/671624019658641</t>
    <phoneticPr fontId="2" type="noConversion"/>
  </si>
  <si>
    <t>桃園市龜山區文學路237-247號號</t>
    <phoneticPr fontId="2" type="noConversion"/>
  </si>
  <si>
    <t>名軒開發</t>
    <phoneticPr fontId="2" type="noConversion"/>
  </si>
  <si>
    <t>麗寶快樂家</t>
    <phoneticPr fontId="2" type="noConversion"/>
  </si>
  <si>
    <t>fig/AiCity-939-麗寶快樂家.jpg</t>
    <phoneticPr fontId="2" type="noConversion"/>
  </si>
  <si>
    <t>http://lihpao.com.tw/appropriate/build.html</t>
    <phoneticPr fontId="2" type="noConversion"/>
  </si>
  <si>
    <t>2021/8:21.0萬元/坪</t>
    <phoneticPr fontId="2" type="noConversion"/>
  </si>
  <si>
    <t>A7 麗寶快樂家社區~住戶專區</t>
    <phoneticPr fontId="2" type="noConversion"/>
  </si>
  <si>
    <t>https://www.facebook.com/groups/A7happyhome</t>
    <phoneticPr fontId="2" type="noConversion"/>
  </si>
  <si>
    <t>桃園市龜山區文青一路12號</t>
    <phoneticPr fontId="2" type="noConversion"/>
  </si>
  <si>
    <t>麗寶建設</t>
    <phoneticPr fontId="2" type="noConversion"/>
  </si>
  <si>
    <t>和煦隆陞</t>
    <phoneticPr fontId="2" type="noConversion"/>
  </si>
  <si>
    <t>fig/AiCity-939-和煦隆陞.jpg</t>
    <phoneticPr fontId="2" type="noConversion"/>
  </si>
  <si>
    <t>https://market.591.com.tw/104829</t>
    <phoneticPr fontId="2" type="noConversion"/>
  </si>
  <si>
    <t>32.3萬元/坪</t>
    <phoneticPr fontId="2" type="noConversion"/>
  </si>
  <si>
    <t>2021Q1</t>
    <phoneticPr fontId="2" type="noConversion"/>
  </si>
  <si>
    <t>二房(27.45坪)、三房(32.22~39.85坪)</t>
    <phoneticPr fontId="2" type="noConversion"/>
  </si>
  <si>
    <t>桃園市龜山區文青二路8號</t>
    <phoneticPr fontId="2" type="noConversion"/>
  </si>
  <si>
    <t>隆陞建設</t>
    <phoneticPr fontId="2" type="noConversion"/>
  </si>
  <si>
    <t>富祥營造</t>
    <phoneticPr fontId="2" type="noConversion"/>
  </si>
  <si>
    <t>1幢，3棟，18戶住家，1戶店面</t>
    <phoneticPr fontId="2" type="noConversion"/>
  </si>
  <si>
    <t>地上8層,地下2層</t>
    <phoneticPr fontId="2" type="noConversion"/>
  </si>
  <si>
    <t>75元/坪/月</t>
    <phoneticPr fontId="2" type="noConversion"/>
  </si>
  <si>
    <t>394.41坪</t>
    <phoneticPr fontId="2" type="noConversion"/>
  </si>
  <si>
    <t>有</t>
    <phoneticPr fontId="2" type="noConversion"/>
  </si>
  <si>
    <t>fig/AiCity-939-豐邑氧森.jpg</t>
    <phoneticPr fontId="2" type="noConversion"/>
  </si>
  <si>
    <t>君邑羅浮</t>
    <phoneticPr fontId="2" type="noConversion"/>
  </si>
  <si>
    <t>fig/AiCity-939-君邑羅浮.jpg</t>
    <phoneticPr fontId="3" type="noConversion"/>
  </si>
  <si>
    <t>玄泰T1</t>
    <phoneticPr fontId="2" type="noConversion"/>
  </si>
  <si>
    <t>fig/AiCity-939-玄泰T1.webp</t>
    <phoneticPr fontId="2" type="noConversion"/>
  </si>
  <si>
    <t>https://newhouse.591.com.tw/home/housing/detail?hid=128089</t>
    <phoneticPr fontId="2" type="noConversion"/>
  </si>
  <si>
    <t>378/595</t>
    <phoneticPr fontId="2" type="noConversion"/>
  </si>
  <si>
    <t>34~38 萬/坪</t>
    <phoneticPr fontId="2" type="noConversion"/>
  </si>
  <si>
    <t>160~230萬</t>
    <phoneticPr fontId="2" type="noConversion"/>
  </si>
  <si>
    <t>2026年第一季度</t>
    <phoneticPr fontId="2" type="noConversion"/>
  </si>
  <si>
    <t>2026Q1</t>
    <phoneticPr fontId="2" type="noConversion"/>
  </si>
  <si>
    <t>三房(36~42坪) 、 3+1房(45~49坪)</t>
    <phoneticPr fontId="2" type="noConversion"/>
  </si>
  <si>
    <t xml:space="preserve">桃園市龜山區善捷段62地號 </t>
    <phoneticPr fontId="2" type="noConversion"/>
  </si>
  <si>
    <t>桃園市龜山區文化一路、樂善二路</t>
    <phoneticPr fontId="2" type="noConversion"/>
  </si>
  <si>
    <t xml:space="preserve"> 群泰開發有限公司</t>
    <phoneticPr fontId="2" type="noConversion"/>
  </si>
  <si>
    <t>群泰開發</t>
  </si>
  <si>
    <t>益盛營造股份有限公司</t>
    <phoneticPr fontId="2" type="noConversion"/>
  </si>
  <si>
    <t>天湛廣告</t>
    <phoneticPr fontId="2" type="noConversion"/>
  </si>
  <si>
    <t>1幢，4棟，264戶住家，7戶店面，294戶事務所，30戶一般</t>
    <phoneticPr fontId="2" type="noConversion"/>
  </si>
  <si>
    <t>地上25層，地下5層</t>
    <phoneticPr fontId="2" type="noConversion"/>
  </si>
  <si>
    <t>平面式596個</t>
    <phoneticPr fontId="2" type="noConversion"/>
  </si>
  <si>
    <t>1848.19坪</t>
    <phoneticPr fontId="2" type="noConversion"/>
  </si>
  <si>
    <t>110桃市都建執照字第00311-01號</t>
    <phoneticPr fontId="2" type="noConversion"/>
  </si>
  <si>
    <t>大亮 泊</t>
    <phoneticPr fontId="2" type="noConversion"/>
  </si>
  <si>
    <t>fig/AiCity-939-大亮泊.webp</t>
    <phoneticPr fontId="2" type="noConversion"/>
  </si>
  <si>
    <t>https://market.591.com.tw/5855860</t>
    <phoneticPr fontId="2" type="noConversion"/>
  </si>
  <si>
    <t>610/585</t>
    <phoneticPr fontId="2" type="noConversion"/>
  </si>
  <si>
    <t>38-40 萬/坪</t>
    <phoneticPr fontId="2" type="noConversion"/>
  </si>
  <si>
    <t>185萬</t>
    <phoneticPr fontId="2" type="noConversion"/>
  </si>
  <si>
    <t>2026年6月</t>
    <phoneticPr fontId="2" type="noConversion"/>
  </si>
  <si>
    <t>2026Q2</t>
    <phoneticPr fontId="2" type="noConversion"/>
  </si>
  <si>
    <t>二房(18~20坪), 三房(26坪)</t>
    <phoneticPr fontId="2" type="noConversion"/>
  </si>
  <si>
    <t>桃園市龜山區文化一路與文青路口</t>
    <phoneticPr fontId="2" type="noConversion"/>
  </si>
  <si>
    <t xml:space="preserve">
1幢，4棟，568戶住家，17戶店面</t>
    <phoneticPr fontId="2" type="noConversion"/>
  </si>
  <si>
    <t>地上29層,地下6層</t>
    <phoneticPr fontId="2" type="noConversion"/>
  </si>
  <si>
    <t>平面式701個、預留管線</t>
    <phoneticPr fontId="2" type="noConversion"/>
  </si>
  <si>
    <t>1:0.56</t>
    <phoneticPr fontId="2" type="noConversion"/>
  </si>
  <si>
    <t>2214坪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</si>
</sst>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_ "/>
    <numFmt numFmtId="179" formatCode="0_ "/>
  </numFmts>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9">
    <xf numFmtId="0" fontId="0" fillId="0" borderId="0" xfId="0">
      <alignment vertical="center"/>
    </xf>
    <xf numFmtId="176" fontId="0" fillId="2" borderId="0" xfId="0" applyNumberFormat="1" applyFill="1" applyAlignment="1"/>
    <xf numFmtId="49" fontId="0" fillId="2" borderId="0" xfId="0" applyNumberFormat="1" applyFill="1" applyAlignment="1"/>
    <xf numFmtId="0" fontId="0" fillId="2" borderId="0" xfId="0" applyFill="1" applyAlignment="1"/>
    <xf numFmtId="177" fontId="0" fillId="2" borderId="0" xfId="0" applyNumberFormat="1" applyFill="1" applyAlignment="1"/>
    <xf numFmtId="178" fontId="0" fillId="2" borderId="0" xfId="0" applyNumberFormat="1" applyFill="1" applyAlignment="1"/>
    <xf numFmtId="179" fontId="0" fillId="2" borderId="0" xfId="0" applyNumberFormat="1" applyFill="1" applyAlignment="1"/>
    <xf numFmtId="0" fontId="4" fillId="2" borderId="0" xfId="0" applyFont="1" applyFill="1" applyAlignment="1"/>
    <xf numFmtId="10" fontId="0" fillId="2" borderId="0" xfId="0" applyNumberFormat="1" applyFill="1" applyAlignment="1"/>
    <xf numFmtId="0" fontId="0" fillId="0" borderId="0" xfId="0" applyAlignment="1"/>
    <xf numFmtId="176" fontId="0" fillId="0" borderId="0" xfId="0" applyNumberFormat="1" applyAlignment="1"/>
    <xf numFmtId="49" fontId="0" fillId="0" borderId="0" xfId="0" applyNumberFormat="1" applyAlignment="1"/>
    <xf numFmtId="0" fontId="4" fillId="0" borderId="0" xfId="0" applyFont="1" applyAlignment="1"/>
    <xf numFmtId="0" fontId="1" fillId="0" borderId="0" xfId="1" applyNumberFormat="1" applyFill="1" applyAlignment="1" applyProtection="1"/>
    <xf numFmtId="177" fontId="1" fillId="0" borderId="0" xfId="1" applyNumberFormat="1" applyFill="1" applyAlignment="1" applyProtection="1"/>
    <xf numFmtId="178" fontId="0" fillId="0" borderId="0" xfId="0" applyNumberFormat="1" applyAlignment="1"/>
    <xf numFmtId="179" fontId="0" fillId="0" borderId="0" xfId="0" applyNumberFormat="1" applyAlignment="1"/>
    <xf numFmtId="9" fontId="0" fillId="0" borderId="0" xfId="0" applyNumberFormat="1" applyAlignment="1"/>
    <xf numFmtId="10" fontId="0" fillId="0" borderId="0" xfId="0" applyNumberFormat="1" applyAlignment="1"/>
    <xf numFmtId="177" fontId="0" fillId="0" borderId="0" xfId="0" applyNumberFormat="1" applyAlignment="1"/>
    <xf numFmtId="0" fontId="1" fillId="0" borderId="0" xfId="1" applyAlignment="1"/>
    <xf numFmtId="177" fontId="1" fillId="0" borderId="0" xfId="1" applyNumberFormat="1" applyAlignment="1"/>
    <xf numFmtId="0" fontId="1" fillId="0" borderId="0" xfId="1" applyNumberFormat="1" applyAlignment="1"/>
    <xf numFmtId="0" fontId="5" fillId="0" borderId="0" xfId="0" applyFont="1" applyAlignment="1"/>
    <xf numFmtId="0" fontId="6" fillId="0" borderId="0" xfId="0" applyFont="1" applyAlignment="1"/>
    <xf numFmtId="14" fontId="0" fillId="0" borderId="0" xfId="0" applyNumberFormat="1" applyAlignment="1"/>
    <xf numFmtId="0" fontId="7" fillId="0" borderId="0" xfId="0" applyFont="1">
      <alignment vertical="center"/>
    </xf>
    <xf numFmtId="0" fontId="8" fillId="0" borderId="0" xfId="0" applyFont="1">
      <alignment vertical="center"/>
    </xf>
    <xf numFmtId="0" fontId="0" fillId="0" borderId="0" xfId="0" applyAlignment="1">
      <alignment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newhouse.591.com.tw/home/housing/detail?hid=124450" TargetMode="External"/><Relationship Id="rId21" Type="http://schemas.openxmlformats.org/officeDocument/2006/relationships/hyperlink" Target="https://newhouse.591.com.tw/home/housing/detail?hid=118905" TargetMode="External"/><Relationship Id="rId42" Type="http://schemas.openxmlformats.org/officeDocument/2006/relationships/hyperlink" Target="https://www.farglory-land.com.tw/leasehold/%E9%81%A0%E9%9B%84%E6%99%82%E4%BB%A3%E7%B8%BD%E9%83%A8-2/" TargetMode="External"/><Relationship Id="rId47" Type="http://schemas.openxmlformats.org/officeDocument/2006/relationships/hyperlink" Target="https://www.facebook.com/groups/A7happyhome" TargetMode="External"/><Relationship Id="rId63" Type="http://schemas.openxmlformats.org/officeDocument/2006/relationships/hyperlink" Target="https://newhouse.591.com.tw/home/housing/detail?hid=125949" TargetMode="External"/><Relationship Id="rId68" Type="http://schemas.openxmlformats.org/officeDocument/2006/relationships/hyperlink" Target="https://newhouse.591.com.tw/home/housing/detail?hid=128089" TargetMode="External"/><Relationship Id="rId7" Type="http://schemas.openxmlformats.org/officeDocument/2006/relationships/hyperlink" Target="https://newhouse.591.com.tw/home/housing/detail?hid=116476&amp;v=720" TargetMode="External"/><Relationship Id="rId2" Type="http://schemas.openxmlformats.org/officeDocument/2006/relationships/hyperlink" Target="https://newhouse.591.com.tw/home/housing/detail?hid=116430&amp;v=720" TargetMode="External"/><Relationship Id="rId16" Type="http://schemas.openxmlformats.org/officeDocument/2006/relationships/hyperlink" Target="https://newhouse.591.com.tw/home/housing/detail?hid=116751&amp;v=720" TargetMode="External"/><Relationship Id="rId29" Type="http://schemas.openxmlformats.org/officeDocument/2006/relationships/hyperlink" Target="https://newhouse.591.com.tw/home/housing/info?hid=118904" TargetMode="External"/><Relationship Id="rId11" Type="http://schemas.openxmlformats.org/officeDocument/2006/relationships/hyperlink" Target="https://newhouse.591.com.tw/home/housing/detail?hid=119531&amp;v=720" TargetMode="External"/><Relationship Id="rId24" Type="http://schemas.openxmlformats.org/officeDocument/2006/relationships/hyperlink" Target="https://newhouse.591.com.tw/home/housing/detail?hid=125726" TargetMode="External"/><Relationship Id="rId32" Type="http://schemas.openxmlformats.org/officeDocument/2006/relationships/hyperlink" Target="https://newhouse.591.com.tw/home/housing/detail?hid=113056" TargetMode="External"/><Relationship Id="rId37" Type="http://schemas.openxmlformats.org/officeDocument/2006/relationships/hyperlink" Target="https://newhouse.591.com.tw/home/housing/detail?hid=125625" TargetMode="External"/><Relationship Id="rId40" Type="http://schemas.openxmlformats.org/officeDocument/2006/relationships/hyperlink" Target="https://newhouse.591.com.tw/home/housing/detail?hid=124447" TargetMode="External"/><Relationship Id="rId45" Type="http://schemas.openxmlformats.org/officeDocument/2006/relationships/hyperlink" Target="http://lihpao.com.tw/appropriate/build.html" TargetMode="External"/><Relationship Id="rId53" Type="http://schemas.openxmlformats.org/officeDocument/2006/relationships/hyperlink" Target="https://www.facebook.com/groups/238626460426128" TargetMode="External"/><Relationship Id="rId58" Type="http://schemas.openxmlformats.org/officeDocument/2006/relationships/hyperlink" Target="https://www.facebook.com/groups/124542338433380" TargetMode="External"/><Relationship Id="rId66" Type="http://schemas.openxmlformats.org/officeDocument/2006/relationships/hyperlink" Target="https://newhouse.591.com.tw/home/housing/detail?hid=129338" TargetMode="External"/><Relationship Id="rId5" Type="http://schemas.openxmlformats.org/officeDocument/2006/relationships/hyperlink" Target="https://newhouse.591.com.tw/home/housing/detail?hid=121157&amp;v=720" TargetMode="External"/><Relationship Id="rId61" Type="http://schemas.openxmlformats.org/officeDocument/2006/relationships/hyperlink" Target="https://www.facebook.com/groups/588376114975687" TargetMode="External"/><Relationship Id="rId19" Type="http://schemas.openxmlformats.org/officeDocument/2006/relationships/hyperlink" Target="https://newhouse.591.com.tw/home/housing/detail?hid=116475" TargetMode="External"/><Relationship Id="rId14" Type="http://schemas.openxmlformats.org/officeDocument/2006/relationships/hyperlink" Target="https://newhouse.591.com.tw/home/housing/detail?hid=122584&amp;v=720" TargetMode="External"/><Relationship Id="rId22" Type="http://schemas.openxmlformats.org/officeDocument/2006/relationships/hyperlink" Target="https://newhouse.591.com.tw/home/housing/detail?hid=121156&amp;v=720" TargetMode="External"/><Relationship Id="rId27" Type="http://schemas.openxmlformats.org/officeDocument/2006/relationships/hyperlink" Target="https://newhouse.591.com.tw/home/housing/info?hid=121155" TargetMode="External"/><Relationship Id="rId30" Type="http://schemas.openxmlformats.org/officeDocument/2006/relationships/hyperlink" Target="https://newhouse.591.com.tw/home/housing/detail?hid=122651" TargetMode="External"/><Relationship Id="rId35" Type="http://schemas.openxmlformats.org/officeDocument/2006/relationships/hyperlink" Target="https://newhouse.591.com.tw/home/housing/detail?hid=119614" TargetMode="External"/><Relationship Id="rId43" Type="http://schemas.openxmlformats.org/officeDocument/2006/relationships/hyperlink" Target="https://www.uppercity.tw/" TargetMode="External"/><Relationship Id="rId48" Type="http://schemas.openxmlformats.org/officeDocument/2006/relationships/hyperlink" Target="https://www.facebook.com/groups/671624019658641" TargetMode="External"/><Relationship Id="rId56" Type="http://schemas.openxmlformats.org/officeDocument/2006/relationships/hyperlink" Target="https://www.facebook.com/%E6%A0%B9%E6%B4%A5%E8%8B%91-102597158541363" TargetMode="External"/><Relationship Id="rId64" Type="http://schemas.openxmlformats.org/officeDocument/2006/relationships/hyperlink" Target="https://newhouse.591.com.tw/home/housing/detail?hid=128903" TargetMode="External"/><Relationship Id="rId69" Type="http://schemas.openxmlformats.org/officeDocument/2006/relationships/hyperlink" Target="https://market.591.com.tw/5855860" TargetMode="External"/><Relationship Id="rId8" Type="http://schemas.openxmlformats.org/officeDocument/2006/relationships/hyperlink" Target="https://newhouse.591.com.tw/home/housing/detail?hid=119483&amp;v=720" TargetMode="External"/><Relationship Id="rId51" Type="http://schemas.openxmlformats.org/officeDocument/2006/relationships/hyperlink" Target="https://www.facebook.com/groups/1271297159886163" TargetMode="External"/><Relationship Id="rId3" Type="http://schemas.openxmlformats.org/officeDocument/2006/relationships/hyperlink" Target="https://newhouse.591.com.tw/home/housing/detail?hid=116107&amp;v=720" TargetMode="External"/><Relationship Id="rId12" Type="http://schemas.openxmlformats.org/officeDocument/2006/relationships/hyperlink" Target="https://newhouse.591.com.tw/home/housing/detail?hid=122649&amp;v=720" TargetMode="External"/><Relationship Id="rId17" Type="http://schemas.openxmlformats.org/officeDocument/2006/relationships/hyperlink" Target="https://newhouse.591.com.tw/home/housing/detail?hid=122734&amp;v=720" TargetMode="External"/><Relationship Id="rId25" Type="http://schemas.openxmlformats.org/officeDocument/2006/relationships/hyperlink" Target="https://newhouse.591.com.tw/home/housing/detail?hid=121200&amp;v=720" TargetMode="External"/><Relationship Id="rId33" Type="http://schemas.openxmlformats.org/officeDocument/2006/relationships/hyperlink" Target="https://newhouse.591.com.tw/home/housing/detail?hid=121159&amp;v=720" TargetMode="External"/><Relationship Id="rId38" Type="http://schemas.openxmlformats.org/officeDocument/2006/relationships/hyperlink" Target="https://newhouse.591.com.tw/home/housing/detail?hid=122650&amp;v=720" TargetMode="External"/><Relationship Id="rId46" Type="http://schemas.openxmlformats.org/officeDocument/2006/relationships/hyperlink" Target="https://newhouse.591.com.tw/home/housing/detail?hid=126450" TargetMode="External"/><Relationship Id="rId59" Type="http://schemas.openxmlformats.org/officeDocument/2006/relationships/hyperlink" Target="https://www.facebook.com/groups/800873736965340" TargetMode="External"/><Relationship Id="rId67" Type="http://schemas.openxmlformats.org/officeDocument/2006/relationships/hyperlink" Target="https://market.591.com.tw/104829" TargetMode="External"/><Relationship Id="rId20" Type="http://schemas.openxmlformats.org/officeDocument/2006/relationships/hyperlink" Target="https://newhouse.591.com.tw/home/housing/detail?hid=120762" TargetMode="External"/><Relationship Id="rId41" Type="http://schemas.openxmlformats.org/officeDocument/2006/relationships/hyperlink" Target="https://newhouse.591.com.tw/home/housing/detail?hid=115863" TargetMode="External"/><Relationship Id="rId54" Type="http://schemas.openxmlformats.org/officeDocument/2006/relationships/hyperlink" Target="https://www.facebook.com/groups/1127911624065990" TargetMode="External"/><Relationship Id="rId62" Type="http://schemas.openxmlformats.org/officeDocument/2006/relationships/hyperlink" Target="https://www.facebook.com/groups/324107612343329" TargetMode="External"/><Relationship Id="rId1" Type="http://schemas.openxmlformats.org/officeDocument/2006/relationships/hyperlink" Target="https://newhouse.591.com.tw/home/housing/detail?hid=119261&amp;v=720" TargetMode="External"/><Relationship Id="rId6" Type="http://schemas.openxmlformats.org/officeDocument/2006/relationships/hyperlink" Target="https://newhouse.591.com.tw/home/housing/detail?hid=118143&amp;v=720" TargetMode="External"/><Relationship Id="rId15" Type="http://schemas.openxmlformats.org/officeDocument/2006/relationships/hyperlink" Target="https://newhouse.591.com.tw/home/housing/detail?hid=120098&amp;v=720" TargetMode="External"/><Relationship Id="rId23" Type="http://schemas.openxmlformats.org/officeDocument/2006/relationships/hyperlink" Target="https://newhouse.591.com.tw/home/housing/detail?hid=121781&amp;" TargetMode="External"/><Relationship Id="rId28" Type="http://schemas.openxmlformats.org/officeDocument/2006/relationships/hyperlink" Target="https://newhouse.591.com.tw/home/housing/info?hid=122831" TargetMode="External"/><Relationship Id="rId36" Type="http://schemas.openxmlformats.org/officeDocument/2006/relationships/hyperlink" Target="https://newhouse.591.com.tw/home/housing/detail?hid=127139" TargetMode="External"/><Relationship Id="rId49" Type="http://schemas.openxmlformats.org/officeDocument/2006/relationships/hyperlink" Target="https://www.facebook.com/groups/521969711190884" TargetMode="External"/><Relationship Id="rId57" Type="http://schemas.openxmlformats.org/officeDocument/2006/relationships/hyperlink" Target="https://www.facebook.com/groups/321511928734593" TargetMode="External"/><Relationship Id="rId10" Type="http://schemas.openxmlformats.org/officeDocument/2006/relationships/hyperlink" Target="https://newhouse.591.com.tw/home/housing/detail?hid=122486&amp;v=720" TargetMode="External"/><Relationship Id="rId31" Type="http://schemas.openxmlformats.org/officeDocument/2006/relationships/hyperlink" Target="https://newhouse.591.com.tw/home/housing/info?hid=122055" TargetMode="External"/><Relationship Id="rId44" Type="http://schemas.openxmlformats.org/officeDocument/2006/relationships/hyperlink" Target="https://www.advancetek.com.tw/%E7%86%B1%E9%8A%B7%E5%80%8B%E6%A1%88/%E5%90%8D%E8%BB%92%E5%BF%AB%E6%A8%82%E5%AE%B6%E5%90%88%E5%AE%9C%E4%BD%8F%E5%AE%85a7_c%E5%9F%BA%E5%9C%B0/" TargetMode="External"/><Relationship Id="rId52" Type="http://schemas.openxmlformats.org/officeDocument/2006/relationships/hyperlink" Target="https://www.facebook.com/groups/1970564956581068" TargetMode="External"/><Relationship Id="rId60" Type="http://schemas.openxmlformats.org/officeDocument/2006/relationships/hyperlink" Target="https://www.facebook.com/groups/2397202740545114" TargetMode="External"/><Relationship Id="rId65" Type="http://schemas.openxmlformats.org/officeDocument/2006/relationships/hyperlink" Target="https://newhouse.591.com.tw/home/housing/detail?hid=128885&amp;v=720" TargetMode="External"/><Relationship Id="rId4" Type="http://schemas.openxmlformats.org/officeDocument/2006/relationships/hyperlink" Target="https://newhouse.591.com.tw/home/housing/detail?hid=118714&amp;v=720" TargetMode="External"/><Relationship Id="rId9" Type="http://schemas.openxmlformats.org/officeDocument/2006/relationships/hyperlink" Target="https://newhouse.591.com.tw/home/housing/detail?hid=118336&amp;v=720" TargetMode="External"/><Relationship Id="rId13" Type="http://schemas.openxmlformats.org/officeDocument/2006/relationships/hyperlink" Target="https://newhouse.591.com.tw/home/housing/detail?hid=120096&amp;v=720" TargetMode="External"/><Relationship Id="rId18" Type="http://schemas.openxmlformats.org/officeDocument/2006/relationships/hyperlink" Target="https://newhouse.591.com.tw/home/housing/detail?hid=117434&amp;v=720" TargetMode="External"/><Relationship Id="rId39" Type="http://schemas.openxmlformats.org/officeDocument/2006/relationships/hyperlink" Target="https://newhouse.591.com.tw/home/housing/detail?hid=124978" TargetMode="External"/><Relationship Id="rId34" Type="http://schemas.openxmlformats.org/officeDocument/2006/relationships/hyperlink" Target="https://newhouse.591.com.tw/home/housing/detail?hid=120741" TargetMode="External"/><Relationship Id="rId50" Type="http://schemas.openxmlformats.org/officeDocument/2006/relationships/hyperlink" Target="https://www.facebook.com/groups/675455015969962" TargetMode="External"/><Relationship Id="rId55" Type="http://schemas.openxmlformats.org/officeDocument/2006/relationships/hyperlink" Target="https://www.facebook.com/groups/7103050997740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EA98-B5B7-7547-BED4-A618D76058F2}">
  <dimension ref="A1:BQ57"/>
  <sheetViews>
    <sheetView tabSelected="1" workbookViewId="0">
      <pane xSplit="4" ySplit="1" topLeftCell="AK2" activePane="bottomRight" state="frozen"/>
      <selection pane="topRight" activeCell="E1" sqref="E1"/>
      <selection pane="bottomLeft" activeCell="A2" sqref="A2"/>
      <selection pane="bottomRight" activeCell="A26" sqref="A26:A30"/>
    </sheetView>
  </sheetViews>
  <sheetFormatPr baseColWidth="10" defaultColWidth="8.83203125" defaultRowHeight="15"/>
  <cols>
    <col min="1" max="1" width="8.83203125" style="10"/>
    <col min="2" max="2" width="24.1640625" style="11" customWidth="1"/>
    <col min="3" max="4" width="14.1640625" style="9" customWidth="1"/>
    <col min="5" max="5" width="28.6640625" style="9" customWidth="1"/>
    <col min="6" max="6" width="61.5" style="9" customWidth="1"/>
    <col min="7" max="7" width="24.5" style="19" customWidth="1"/>
    <col min="8" max="8" width="24.5" style="9" customWidth="1"/>
    <col min="9" max="10" width="24.5" style="19" customWidth="1"/>
    <col min="11" max="11" width="15.83203125" style="9" customWidth="1"/>
    <col min="12" max="12" width="16.6640625" style="15" customWidth="1"/>
    <col min="13" max="13" width="17.33203125" style="15" customWidth="1"/>
    <col min="14" max="15" width="9.5" style="15" customWidth="1"/>
    <col min="16" max="16" width="17.5" style="15" customWidth="1"/>
    <col min="17" max="17" width="15.83203125" style="15" customWidth="1"/>
    <col min="18" max="19" width="16.33203125" style="15" customWidth="1"/>
    <col min="20" max="20" width="15.5" style="15" customWidth="1"/>
    <col min="21" max="21" width="9.5" style="15" customWidth="1"/>
    <col min="22" max="24" width="15.83203125" style="9" customWidth="1"/>
    <col min="25" max="25" width="12.83203125" style="9" customWidth="1"/>
    <col min="26" max="26" width="8.5" style="16" customWidth="1"/>
    <col min="27" max="27" width="8.83203125" style="16"/>
    <col min="28" max="29" width="8.83203125" style="9"/>
    <col min="30" max="30" width="19.83203125" style="9" customWidth="1"/>
    <col min="31" max="31" width="19.83203125" style="10" customWidth="1"/>
    <col min="32" max="32" width="9" style="9" customWidth="1"/>
    <col min="33" max="33" width="8.83203125" style="9"/>
    <col min="34" max="34" width="39" style="9" customWidth="1"/>
    <col min="35" max="36" width="8.83203125" style="9"/>
    <col min="37" max="37" width="20.6640625" style="9" customWidth="1"/>
    <col min="38" max="39" width="8.83203125" style="9"/>
    <col min="40" max="40" width="22.6640625" style="9" customWidth="1"/>
    <col min="41" max="43" width="10.5" style="9" customWidth="1"/>
    <col min="44" max="46" width="8.83203125" style="9"/>
    <col min="47" max="47" width="8.83203125" style="18"/>
    <col min="48" max="48" width="39.83203125" style="9" customWidth="1"/>
    <col min="49" max="49" width="11" style="9" customWidth="1"/>
    <col min="50" max="50" width="9.5" style="9" customWidth="1"/>
    <col min="51" max="51" width="8.83203125" style="9"/>
    <col min="52" max="52" width="8.83203125" style="18"/>
    <col min="53" max="53" width="25" style="9" customWidth="1"/>
    <col min="54" max="54" width="9.5" style="9" customWidth="1"/>
    <col min="55" max="55" width="23" style="9" customWidth="1"/>
    <col min="56" max="56" width="8.83203125" style="9"/>
    <col min="57" max="57" width="8.83203125" style="11"/>
    <col min="58" max="58" width="8.83203125" style="19"/>
    <col min="59" max="59" width="8.83203125" style="9"/>
    <col min="60" max="60" width="11.33203125" style="9" customWidth="1"/>
    <col min="61" max="61" width="18.6640625" style="19" customWidth="1"/>
    <col min="62" max="16384" width="8.83203125" style="9"/>
  </cols>
  <sheetData>
    <row r="1" spans="1:69">
      <c r="A1" s="1" t="s">
        <v>0</v>
      </c>
      <c r="B1" s="2" t="s">
        <v>1</v>
      </c>
      <c r="C1" s="3" t="s">
        <v>2</v>
      </c>
      <c r="D1" s="3" t="s">
        <v>3</v>
      </c>
      <c r="E1" s="3" t="s">
        <v>4</v>
      </c>
      <c r="F1" s="3" t="s">
        <v>5</v>
      </c>
      <c r="G1" s="4" t="s">
        <v>6</v>
      </c>
      <c r="H1" s="3" t="s">
        <v>7</v>
      </c>
      <c r="I1" s="4" t="s">
        <v>8</v>
      </c>
      <c r="J1" s="4" t="s">
        <v>9</v>
      </c>
      <c r="K1" s="3" t="s">
        <v>10</v>
      </c>
      <c r="L1" s="5" t="s">
        <v>11</v>
      </c>
      <c r="M1" s="5" t="s">
        <v>12</v>
      </c>
      <c r="N1" s="5" t="s">
        <v>13</v>
      </c>
      <c r="O1" s="5" t="s">
        <v>14</v>
      </c>
      <c r="P1" s="3" t="s">
        <v>15</v>
      </c>
      <c r="Q1" s="5" t="s">
        <v>16</v>
      </c>
      <c r="R1" s="5" t="s">
        <v>17</v>
      </c>
      <c r="S1" s="5" t="s">
        <v>18</v>
      </c>
      <c r="T1" s="5" t="s">
        <v>19</v>
      </c>
      <c r="U1" s="5" t="s">
        <v>20</v>
      </c>
      <c r="V1" s="3" t="s">
        <v>21</v>
      </c>
      <c r="W1" s="3" t="s">
        <v>22</v>
      </c>
      <c r="X1" s="3" t="s">
        <v>23</v>
      </c>
      <c r="Y1" s="3" t="s">
        <v>24</v>
      </c>
      <c r="Z1" s="6" t="s">
        <v>25</v>
      </c>
      <c r="AA1" s="6" t="s">
        <v>26</v>
      </c>
      <c r="AB1" s="3" t="s">
        <v>27</v>
      </c>
      <c r="AC1" s="3" t="s">
        <v>28</v>
      </c>
      <c r="AD1" s="3" t="s">
        <v>29</v>
      </c>
      <c r="AE1" s="1" t="s">
        <v>30</v>
      </c>
      <c r="AF1" s="3" t="s">
        <v>31</v>
      </c>
      <c r="AG1" s="3" t="s">
        <v>32</v>
      </c>
      <c r="AH1" s="3" t="s">
        <v>33</v>
      </c>
      <c r="AI1" s="3" t="s">
        <v>34</v>
      </c>
      <c r="AJ1" s="3" t="s">
        <v>35</v>
      </c>
      <c r="AK1" s="3" t="s">
        <v>36</v>
      </c>
      <c r="AL1" s="3" t="s">
        <v>37</v>
      </c>
      <c r="AM1" s="3" t="s">
        <v>38</v>
      </c>
      <c r="AN1" s="7" t="s">
        <v>39</v>
      </c>
      <c r="AO1" s="3" t="s">
        <v>40</v>
      </c>
      <c r="AP1" s="3" t="s">
        <v>41</v>
      </c>
      <c r="AQ1" s="3" t="s">
        <v>42</v>
      </c>
      <c r="AR1" s="3" t="s">
        <v>43</v>
      </c>
      <c r="AS1" s="3" t="s">
        <v>44</v>
      </c>
      <c r="AT1" s="3" t="s">
        <v>45</v>
      </c>
      <c r="AU1" s="8" t="s">
        <v>46</v>
      </c>
      <c r="AV1" s="3" t="s">
        <v>47</v>
      </c>
      <c r="AW1" s="3" t="s">
        <v>48</v>
      </c>
      <c r="AX1" s="3" t="s">
        <v>49</v>
      </c>
      <c r="AY1" s="3" t="s">
        <v>50</v>
      </c>
      <c r="AZ1" s="8" t="s">
        <v>51</v>
      </c>
      <c r="BA1" s="3" t="s">
        <v>52</v>
      </c>
      <c r="BB1" s="3" t="s">
        <v>53</v>
      </c>
      <c r="BC1" s="3" t="s">
        <v>54</v>
      </c>
      <c r="BD1" s="3" t="s">
        <v>55</v>
      </c>
      <c r="BE1" s="2" t="s">
        <v>56</v>
      </c>
      <c r="BF1" s="4" t="s">
        <v>57</v>
      </c>
      <c r="BG1" s="3" t="s">
        <v>58</v>
      </c>
      <c r="BH1" s="3" t="s">
        <v>59</v>
      </c>
      <c r="BI1" s="4" t="s">
        <v>60</v>
      </c>
      <c r="BJ1" s="3" t="s">
        <v>61</v>
      </c>
      <c r="BK1" s="3" t="s">
        <v>62</v>
      </c>
      <c r="BL1" s="3" t="s">
        <v>63</v>
      </c>
      <c r="BM1" s="3" t="s">
        <v>64</v>
      </c>
      <c r="BN1" s="3" t="s">
        <v>65</v>
      </c>
      <c r="BO1" s="3" t="s">
        <v>66</v>
      </c>
      <c r="BP1" s="3" t="s">
        <v>67</v>
      </c>
      <c r="BQ1" s="3" t="s">
        <v>68</v>
      </c>
    </row>
    <row r="2" spans="1:69">
      <c r="A2" s="10">
        <v>101</v>
      </c>
      <c r="B2" s="11" t="s">
        <v>69</v>
      </c>
      <c r="C2" s="12" t="s">
        <v>70</v>
      </c>
      <c r="D2" s="12" t="str">
        <f t="shared" ref="D2:D57" si="0">CONCATENATE(A2," ",C2)</f>
        <v>101 和發大境</v>
      </c>
      <c r="E2" s="9" t="s">
        <v>71</v>
      </c>
      <c r="F2" s="13" t="s">
        <v>72</v>
      </c>
      <c r="G2" s="14">
        <v>27.72</v>
      </c>
      <c r="H2" s="13" t="s">
        <v>73</v>
      </c>
      <c r="I2" s="14">
        <v>32.01</v>
      </c>
      <c r="J2" s="14">
        <v>24.3</v>
      </c>
      <c r="K2" s="9" t="s">
        <v>74</v>
      </c>
      <c r="L2" s="15">
        <v>28</v>
      </c>
      <c r="M2" s="15">
        <v>29</v>
      </c>
      <c r="N2" s="15">
        <f t="shared" ref="N2:N8" si="1">(L2+M2)/2</f>
        <v>28.5</v>
      </c>
      <c r="O2" s="15">
        <f t="shared" ref="O2:O8" si="2">M2-N2</f>
        <v>0.5</v>
      </c>
      <c r="P2" s="9" t="s">
        <v>75</v>
      </c>
      <c r="Q2" s="15">
        <v>34</v>
      </c>
      <c r="R2" s="15">
        <v>36</v>
      </c>
      <c r="S2" s="15">
        <f t="shared" ref="S2:S8" si="3">R2-Q2</f>
        <v>2</v>
      </c>
      <c r="T2" s="15">
        <f t="shared" ref="T2:T57" si="4">(Q2+R2)/2</f>
        <v>35</v>
      </c>
      <c r="Y2" s="9" t="s">
        <v>76</v>
      </c>
      <c r="Z2" s="16">
        <v>170</v>
      </c>
      <c r="AA2" s="16">
        <v>205</v>
      </c>
      <c r="AB2" s="17">
        <v>0.8</v>
      </c>
      <c r="AC2" s="9" t="s">
        <v>77</v>
      </c>
      <c r="AD2" s="9" t="s">
        <v>78</v>
      </c>
      <c r="AE2" s="10">
        <v>2022</v>
      </c>
      <c r="AF2" s="9" t="s">
        <v>79</v>
      </c>
      <c r="AG2" s="9" t="s">
        <v>80</v>
      </c>
      <c r="AH2" s="9" t="s">
        <v>81</v>
      </c>
      <c r="AI2" s="9" t="s">
        <v>82</v>
      </c>
      <c r="AJ2" s="9" t="s">
        <v>83</v>
      </c>
      <c r="AK2" s="9" t="s">
        <v>84</v>
      </c>
      <c r="AL2" s="9" t="s">
        <v>85</v>
      </c>
      <c r="AM2" s="9" t="s">
        <v>86</v>
      </c>
      <c r="AN2" s="9" t="s">
        <v>87</v>
      </c>
      <c r="AO2" s="9" t="s">
        <v>88</v>
      </c>
      <c r="AP2" s="9" t="s">
        <v>89</v>
      </c>
      <c r="AQ2" s="9" t="s">
        <v>90</v>
      </c>
      <c r="AR2" s="9" t="s">
        <v>91</v>
      </c>
      <c r="AS2" s="9" t="s">
        <v>92</v>
      </c>
      <c r="AT2" s="17">
        <v>0.33</v>
      </c>
      <c r="AU2" s="18">
        <v>0.33</v>
      </c>
      <c r="AV2" s="9" t="s">
        <v>93</v>
      </c>
      <c r="AW2" s="9">
        <v>280</v>
      </c>
      <c r="AX2" s="9">
        <v>12</v>
      </c>
      <c r="AY2" s="18">
        <v>0.40899999999999997</v>
      </c>
      <c r="AZ2" s="18">
        <v>0.40899999999999997</v>
      </c>
      <c r="BA2" s="9" t="s">
        <v>94</v>
      </c>
      <c r="BB2" s="9">
        <v>15</v>
      </c>
      <c r="BC2" s="9" t="s">
        <v>95</v>
      </c>
      <c r="BD2" s="9" t="s">
        <v>96</v>
      </c>
      <c r="BE2" s="11" t="s">
        <v>97</v>
      </c>
      <c r="BF2" s="19">
        <v>1.0900000000000001</v>
      </c>
      <c r="BG2" s="9" t="s">
        <v>98</v>
      </c>
      <c r="BH2" s="9" t="s">
        <v>99</v>
      </c>
      <c r="BI2" s="9">
        <v>1586.57</v>
      </c>
      <c r="BJ2" s="9" t="s">
        <v>100</v>
      </c>
      <c r="BK2" s="9" t="s">
        <v>101</v>
      </c>
      <c r="BL2" s="9" t="s">
        <v>102</v>
      </c>
      <c r="BM2" s="9" t="s">
        <v>102</v>
      </c>
      <c r="BN2" s="9" t="s">
        <v>103</v>
      </c>
      <c r="BO2" s="9" t="s">
        <v>104</v>
      </c>
      <c r="BP2" s="9" t="s">
        <v>102</v>
      </c>
      <c r="BQ2" s="9" t="s">
        <v>105</v>
      </c>
    </row>
    <row r="3" spans="1:69">
      <c r="A3" s="10">
        <v>102</v>
      </c>
      <c r="B3" s="11" t="s">
        <v>69</v>
      </c>
      <c r="C3" s="9" t="s">
        <v>106</v>
      </c>
      <c r="D3" s="12" t="str">
        <f t="shared" si="0"/>
        <v>102 鴻典</v>
      </c>
      <c r="E3" s="12" t="s">
        <v>107</v>
      </c>
      <c r="F3" s="13" t="s">
        <v>108</v>
      </c>
      <c r="G3" s="14">
        <v>24.35</v>
      </c>
      <c r="H3" s="13">
        <v>23.38</v>
      </c>
      <c r="I3" s="14">
        <v>26.49</v>
      </c>
      <c r="J3" s="14">
        <v>20.440000000000001</v>
      </c>
      <c r="K3" s="9" t="s">
        <v>109</v>
      </c>
      <c r="L3" s="15">
        <v>26</v>
      </c>
      <c r="M3" s="15">
        <v>26</v>
      </c>
      <c r="N3" s="15">
        <f t="shared" si="1"/>
        <v>26</v>
      </c>
      <c r="O3" s="15">
        <f t="shared" si="2"/>
        <v>0</v>
      </c>
      <c r="P3" s="9" t="s">
        <v>110</v>
      </c>
      <c r="Q3" s="15">
        <v>29</v>
      </c>
      <c r="R3" s="15">
        <v>29</v>
      </c>
      <c r="S3" s="15">
        <f t="shared" si="3"/>
        <v>0</v>
      </c>
      <c r="T3" s="15">
        <f t="shared" si="4"/>
        <v>29</v>
      </c>
      <c r="Y3" s="9" t="s">
        <v>111</v>
      </c>
      <c r="Z3" s="16">
        <v>180</v>
      </c>
      <c r="AA3" s="16">
        <v>210</v>
      </c>
      <c r="AB3" s="9" t="s">
        <v>112</v>
      </c>
      <c r="AC3" s="9" t="s">
        <v>77</v>
      </c>
      <c r="AD3" s="9" t="s">
        <v>113</v>
      </c>
      <c r="AE3" s="10">
        <v>2022</v>
      </c>
      <c r="AF3" s="9" t="s">
        <v>114</v>
      </c>
      <c r="AG3" s="9" t="s">
        <v>80</v>
      </c>
      <c r="AH3" s="9" t="s">
        <v>115</v>
      </c>
      <c r="AI3" s="9" t="s">
        <v>116</v>
      </c>
      <c r="AJ3" s="9" t="s">
        <v>83</v>
      </c>
      <c r="AK3" s="9" t="s">
        <v>117</v>
      </c>
      <c r="AL3" s="9" t="s">
        <v>118</v>
      </c>
      <c r="AM3" s="9" t="s">
        <v>118</v>
      </c>
      <c r="AN3" s="9" t="s">
        <v>119</v>
      </c>
      <c r="AO3" s="9" t="s">
        <v>120</v>
      </c>
      <c r="AP3" s="9" t="s">
        <v>89</v>
      </c>
      <c r="AQ3" s="9" t="s">
        <v>121</v>
      </c>
      <c r="AR3" s="9" t="s">
        <v>122</v>
      </c>
      <c r="AS3" s="9" t="s">
        <v>123</v>
      </c>
      <c r="AT3" s="9" t="s">
        <v>124</v>
      </c>
      <c r="AU3" s="18">
        <v>0.32</v>
      </c>
      <c r="AV3" s="9" t="s">
        <v>125</v>
      </c>
      <c r="AW3" s="9">
        <v>196</v>
      </c>
      <c r="AX3" s="9">
        <v>11</v>
      </c>
      <c r="AY3" s="9" t="s">
        <v>126</v>
      </c>
      <c r="AZ3" s="18">
        <v>0.39800000000000002</v>
      </c>
      <c r="BA3" s="9" t="s">
        <v>127</v>
      </c>
      <c r="BB3" s="9">
        <v>15</v>
      </c>
      <c r="BC3" s="9" t="s">
        <v>128</v>
      </c>
      <c r="BD3" s="9" t="s">
        <v>129</v>
      </c>
      <c r="BE3" s="11" t="s">
        <v>130</v>
      </c>
      <c r="BF3" s="19">
        <v>1.03</v>
      </c>
      <c r="BG3" s="9" t="s">
        <v>98</v>
      </c>
      <c r="BH3" s="9" t="s">
        <v>131</v>
      </c>
      <c r="BI3" s="9">
        <v>1062.93</v>
      </c>
      <c r="BJ3" s="9" t="s">
        <v>100</v>
      </c>
      <c r="BK3" s="9" t="s">
        <v>101</v>
      </c>
      <c r="BL3" s="9" t="s">
        <v>102</v>
      </c>
      <c r="BM3" s="9" t="s">
        <v>102</v>
      </c>
      <c r="BN3" s="9" t="s">
        <v>132</v>
      </c>
      <c r="BO3" s="9" t="s">
        <v>133</v>
      </c>
      <c r="BP3" s="9" t="s">
        <v>102</v>
      </c>
      <c r="BQ3" s="9" t="s">
        <v>134</v>
      </c>
    </row>
    <row r="4" spans="1:69">
      <c r="A4" s="10">
        <v>103</v>
      </c>
      <c r="B4" s="11" t="s">
        <v>69</v>
      </c>
      <c r="C4" s="9" t="s">
        <v>135</v>
      </c>
      <c r="D4" s="12" t="str">
        <f t="shared" si="0"/>
        <v>103 樂捷市</v>
      </c>
      <c r="E4" s="9" t="s">
        <v>136</v>
      </c>
      <c r="F4" s="13" t="s">
        <v>137</v>
      </c>
      <c r="G4" s="14">
        <v>24.46</v>
      </c>
      <c r="H4" s="13">
        <v>22.58</v>
      </c>
      <c r="I4" s="14">
        <v>31.05</v>
      </c>
      <c r="J4" s="14">
        <v>17.47</v>
      </c>
      <c r="K4" s="9" t="s">
        <v>109</v>
      </c>
      <c r="L4" s="15">
        <v>26</v>
      </c>
      <c r="M4" s="15">
        <v>26</v>
      </c>
      <c r="N4" s="15">
        <f t="shared" si="1"/>
        <v>26</v>
      </c>
      <c r="O4" s="15">
        <f t="shared" si="2"/>
        <v>0</v>
      </c>
      <c r="P4" s="9" t="s">
        <v>109</v>
      </c>
      <c r="Q4" s="15">
        <v>26</v>
      </c>
      <c r="R4" s="15">
        <v>26</v>
      </c>
      <c r="S4" s="15">
        <f t="shared" si="3"/>
        <v>0</v>
      </c>
      <c r="T4" s="15">
        <f t="shared" si="4"/>
        <v>26</v>
      </c>
      <c r="U4" s="15" t="s">
        <v>138</v>
      </c>
      <c r="V4" s="9" t="s">
        <v>139</v>
      </c>
      <c r="W4" s="20" t="s">
        <v>140</v>
      </c>
      <c r="Y4" s="9" t="s">
        <v>141</v>
      </c>
      <c r="Z4" s="16">
        <v>150</v>
      </c>
      <c r="AA4" s="16">
        <v>195</v>
      </c>
      <c r="AB4" s="9" t="s">
        <v>142</v>
      </c>
      <c r="AC4" s="9" t="s">
        <v>77</v>
      </c>
      <c r="AD4" s="9" t="s">
        <v>143</v>
      </c>
      <c r="AE4" s="10">
        <v>2019</v>
      </c>
      <c r="AF4" s="9" t="s">
        <v>144</v>
      </c>
      <c r="AG4" s="9" t="s">
        <v>80</v>
      </c>
      <c r="AH4" s="9" t="s">
        <v>145</v>
      </c>
      <c r="AI4" s="9" t="s">
        <v>146</v>
      </c>
      <c r="AJ4" s="9" t="s">
        <v>83</v>
      </c>
      <c r="AK4" s="9" t="s">
        <v>147</v>
      </c>
      <c r="AL4" s="9" t="s">
        <v>148</v>
      </c>
      <c r="AM4" s="9" t="s">
        <v>149</v>
      </c>
      <c r="AN4" s="9" t="s">
        <v>119</v>
      </c>
      <c r="AO4" s="9" t="s">
        <v>120</v>
      </c>
      <c r="AP4" s="9" t="s">
        <v>89</v>
      </c>
      <c r="AQ4" s="9" t="s">
        <v>121</v>
      </c>
      <c r="AR4" s="9" t="s">
        <v>122</v>
      </c>
      <c r="AS4" s="9" t="s">
        <v>150</v>
      </c>
      <c r="AT4" s="9" t="s">
        <v>151</v>
      </c>
      <c r="AU4" s="18">
        <v>0.315</v>
      </c>
      <c r="AV4" s="9" t="s">
        <v>152</v>
      </c>
      <c r="AW4" s="9">
        <v>326</v>
      </c>
      <c r="AX4" s="9">
        <v>20</v>
      </c>
      <c r="AY4" s="9" t="s">
        <v>153</v>
      </c>
      <c r="AZ4" s="18">
        <v>0.49559999999999998</v>
      </c>
      <c r="BA4" s="9" t="s">
        <v>127</v>
      </c>
      <c r="BB4" s="9">
        <v>15</v>
      </c>
      <c r="BC4" s="9" t="s">
        <v>154</v>
      </c>
      <c r="BD4" s="9" t="s">
        <v>96</v>
      </c>
      <c r="BE4" s="11" t="s">
        <v>155</v>
      </c>
      <c r="BF4" s="19">
        <v>1</v>
      </c>
      <c r="BG4" s="9" t="s">
        <v>98</v>
      </c>
      <c r="BH4" s="9" t="s">
        <v>156</v>
      </c>
      <c r="BI4" s="9">
        <v>1848.44</v>
      </c>
      <c r="BJ4" s="9" t="s">
        <v>100</v>
      </c>
      <c r="BK4" s="9" t="s">
        <v>101</v>
      </c>
      <c r="BL4" s="9" t="s">
        <v>102</v>
      </c>
      <c r="BM4" s="9" t="s">
        <v>102</v>
      </c>
      <c r="BN4" s="9" t="s">
        <v>157</v>
      </c>
      <c r="BO4" s="9" t="s">
        <v>158</v>
      </c>
      <c r="BP4" s="9" t="s">
        <v>102</v>
      </c>
      <c r="BQ4" s="9" t="s">
        <v>105</v>
      </c>
    </row>
    <row r="5" spans="1:69">
      <c r="A5" s="10">
        <v>104</v>
      </c>
      <c r="B5" s="11" t="s">
        <v>69</v>
      </c>
      <c r="C5" s="9" t="s">
        <v>159</v>
      </c>
      <c r="D5" s="12" t="str">
        <f t="shared" si="0"/>
        <v>104 奇幻莊園</v>
      </c>
      <c r="E5" s="12" t="s">
        <v>160</v>
      </c>
      <c r="F5" s="13" t="s">
        <v>161</v>
      </c>
      <c r="G5" s="14"/>
      <c r="H5" s="13">
        <v>22.11</v>
      </c>
      <c r="I5" s="14">
        <v>27.38</v>
      </c>
      <c r="J5" s="14">
        <v>19.579999999999998</v>
      </c>
      <c r="K5" s="9" t="s">
        <v>162</v>
      </c>
      <c r="L5" s="15">
        <v>24.5</v>
      </c>
      <c r="M5" s="15">
        <v>25.5</v>
      </c>
      <c r="N5" s="15">
        <f t="shared" si="1"/>
        <v>25</v>
      </c>
      <c r="O5" s="15">
        <f t="shared" si="2"/>
        <v>0.5</v>
      </c>
      <c r="P5" s="9" t="s">
        <v>162</v>
      </c>
      <c r="Q5" s="15">
        <v>24.5</v>
      </c>
      <c r="R5" s="15">
        <v>25.5</v>
      </c>
      <c r="S5" s="15">
        <f t="shared" si="3"/>
        <v>1</v>
      </c>
      <c r="T5" s="15">
        <f t="shared" si="4"/>
        <v>25</v>
      </c>
      <c r="U5" s="15" t="s">
        <v>138</v>
      </c>
      <c r="V5" s="9" t="s">
        <v>163</v>
      </c>
      <c r="W5" s="20" t="s">
        <v>164</v>
      </c>
      <c r="Y5" s="9" t="s">
        <v>165</v>
      </c>
      <c r="Z5" s="16">
        <v>160</v>
      </c>
      <c r="AA5" s="16">
        <v>220</v>
      </c>
      <c r="AB5" s="9" t="s">
        <v>112</v>
      </c>
      <c r="AC5" s="9" t="s">
        <v>77</v>
      </c>
      <c r="AD5" s="9" t="s">
        <v>166</v>
      </c>
      <c r="AE5" s="10">
        <v>2020</v>
      </c>
      <c r="AF5" s="9" t="s">
        <v>167</v>
      </c>
      <c r="AG5" s="9" t="s">
        <v>80</v>
      </c>
      <c r="AH5" s="9" t="s">
        <v>168</v>
      </c>
      <c r="AI5" s="9" t="s">
        <v>146</v>
      </c>
      <c r="AJ5" s="9" t="s">
        <v>83</v>
      </c>
      <c r="AK5" s="9" t="s">
        <v>117</v>
      </c>
      <c r="AL5" s="9" t="s">
        <v>169</v>
      </c>
      <c r="AM5" s="9" t="s">
        <v>169</v>
      </c>
      <c r="AN5" s="9" t="s">
        <v>170</v>
      </c>
      <c r="AO5" s="9" t="s">
        <v>171</v>
      </c>
      <c r="AP5" s="9" t="s">
        <v>89</v>
      </c>
      <c r="AQ5" s="9" t="s">
        <v>172</v>
      </c>
      <c r="AR5" s="9" t="s">
        <v>122</v>
      </c>
      <c r="AS5" s="9" t="s">
        <v>173</v>
      </c>
      <c r="AT5" s="9" t="s">
        <v>124</v>
      </c>
      <c r="AU5" s="18">
        <v>0.32</v>
      </c>
      <c r="AV5" s="9" t="s">
        <v>174</v>
      </c>
      <c r="AW5" s="9">
        <v>173</v>
      </c>
      <c r="AX5" s="9">
        <v>11</v>
      </c>
      <c r="AY5" s="9" t="s">
        <v>175</v>
      </c>
      <c r="AZ5" s="18">
        <v>0.48259999999999997</v>
      </c>
      <c r="BA5" s="9" t="s">
        <v>176</v>
      </c>
      <c r="BB5" s="9">
        <v>14</v>
      </c>
      <c r="BC5" s="9" t="s">
        <v>177</v>
      </c>
      <c r="BD5" s="9" t="s">
        <v>178</v>
      </c>
      <c r="BE5" s="11" t="s">
        <v>179</v>
      </c>
      <c r="BF5" s="19">
        <v>0.98</v>
      </c>
      <c r="BG5" s="9" t="s">
        <v>98</v>
      </c>
      <c r="BH5" s="9" t="s">
        <v>180</v>
      </c>
      <c r="BI5" s="9">
        <v>954.46</v>
      </c>
      <c r="BJ5" s="9" t="s">
        <v>100</v>
      </c>
      <c r="BK5" s="9" t="s">
        <v>101</v>
      </c>
      <c r="BL5" s="9" t="s">
        <v>102</v>
      </c>
      <c r="BM5" s="9" t="s">
        <v>102</v>
      </c>
      <c r="BN5" s="9" t="s">
        <v>181</v>
      </c>
      <c r="BO5" s="9" t="s">
        <v>182</v>
      </c>
      <c r="BP5" s="9" t="s">
        <v>102</v>
      </c>
      <c r="BQ5" s="9" t="s">
        <v>105</v>
      </c>
    </row>
    <row r="6" spans="1:69">
      <c r="A6" s="10">
        <v>105</v>
      </c>
      <c r="B6" s="11" t="s">
        <v>69</v>
      </c>
      <c r="C6" s="9" t="s">
        <v>183</v>
      </c>
      <c r="D6" s="12" t="str">
        <f t="shared" si="0"/>
        <v>105 樂田田</v>
      </c>
      <c r="E6" s="9" t="s">
        <v>184</v>
      </c>
      <c r="F6" s="20" t="s">
        <v>185</v>
      </c>
      <c r="G6" s="21">
        <v>22.84</v>
      </c>
      <c r="H6" s="22" t="s">
        <v>186</v>
      </c>
      <c r="I6" s="21">
        <v>26.27</v>
      </c>
      <c r="J6" s="21">
        <v>19.62</v>
      </c>
      <c r="K6" s="9" t="s">
        <v>187</v>
      </c>
      <c r="L6" s="15">
        <v>25</v>
      </c>
      <c r="M6" s="15">
        <v>26</v>
      </c>
      <c r="N6" s="15">
        <f t="shared" si="1"/>
        <v>25.5</v>
      </c>
      <c r="O6" s="15">
        <f t="shared" si="2"/>
        <v>0.5</v>
      </c>
      <c r="P6" s="9" t="s">
        <v>187</v>
      </c>
      <c r="Q6" s="15">
        <v>26</v>
      </c>
      <c r="R6" s="15">
        <v>26</v>
      </c>
      <c r="S6" s="15">
        <f t="shared" si="3"/>
        <v>0</v>
      </c>
      <c r="T6" s="15">
        <f t="shared" si="4"/>
        <v>26</v>
      </c>
      <c r="U6" s="15" t="s">
        <v>138</v>
      </c>
      <c r="Y6" s="9" t="s">
        <v>188</v>
      </c>
      <c r="Z6" s="16">
        <v>190</v>
      </c>
      <c r="AA6" s="16">
        <v>230</v>
      </c>
      <c r="AB6" s="17">
        <v>0.8</v>
      </c>
      <c r="AC6" s="9" t="s">
        <v>77</v>
      </c>
      <c r="AD6" s="9" t="s">
        <v>189</v>
      </c>
      <c r="AE6" s="10">
        <v>2022</v>
      </c>
      <c r="AF6" s="9" t="s">
        <v>114</v>
      </c>
      <c r="AG6" s="9" t="s">
        <v>80</v>
      </c>
      <c r="AH6" s="9" t="s">
        <v>190</v>
      </c>
      <c r="AI6" s="9" t="s">
        <v>82</v>
      </c>
      <c r="AJ6" s="9" t="s">
        <v>83</v>
      </c>
      <c r="AK6" s="9" t="s">
        <v>117</v>
      </c>
      <c r="AL6" s="9" t="s">
        <v>191</v>
      </c>
      <c r="AM6" s="9" t="s">
        <v>192</v>
      </c>
      <c r="AN6" s="9" t="s">
        <v>193</v>
      </c>
      <c r="AO6" s="9" t="s">
        <v>194</v>
      </c>
      <c r="AP6" s="9" t="s">
        <v>89</v>
      </c>
      <c r="AQ6" s="9" t="s">
        <v>195</v>
      </c>
      <c r="AR6" s="9" t="s">
        <v>196</v>
      </c>
      <c r="AS6" s="9" t="s">
        <v>197</v>
      </c>
      <c r="AT6" s="18">
        <v>0.32600000000000001</v>
      </c>
      <c r="AU6" s="18">
        <v>0.32600000000000001</v>
      </c>
      <c r="AV6" s="9" t="s">
        <v>198</v>
      </c>
      <c r="AW6" s="9">
        <v>187</v>
      </c>
      <c r="AX6" s="9">
        <v>12</v>
      </c>
      <c r="AY6" s="18">
        <v>0.44269999999999998</v>
      </c>
      <c r="AZ6" s="18">
        <v>0.44269999999999998</v>
      </c>
      <c r="BA6" s="9" t="s">
        <v>199</v>
      </c>
      <c r="BB6" s="9">
        <v>14</v>
      </c>
      <c r="BC6" s="18" t="s">
        <v>200</v>
      </c>
      <c r="BD6" s="9" t="s">
        <v>201</v>
      </c>
      <c r="BE6" s="11" t="s">
        <v>202</v>
      </c>
      <c r="BF6" s="19">
        <v>0.87</v>
      </c>
      <c r="BG6" s="9" t="s">
        <v>98</v>
      </c>
      <c r="BH6" s="9" t="s">
        <v>203</v>
      </c>
      <c r="BI6" s="9">
        <v>907.61</v>
      </c>
      <c r="BJ6" s="9" t="s">
        <v>100</v>
      </c>
      <c r="BK6" s="9" t="s">
        <v>101</v>
      </c>
      <c r="BL6" s="9" t="s">
        <v>102</v>
      </c>
      <c r="BM6" s="9" t="s">
        <v>102</v>
      </c>
      <c r="BN6" s="9" t="s">
        <v>204</v>
      </c>
      <c r="BO6" s="9" t="s">
        <v>205</v>
      </c>
      <c r="BP6" s="9" t="s">
        <v>102</v>
      </c>
      <c r="BQ6" s="9" t="s">
        <v>105</v>
      </c>
    </row>
    <row r="7" spans="1:69">
      <c r="A7" s="10">
        <v>106</v>
      </c>
      <c r="B7" s="11" t="s">
        <v>69</v>
      </c>
      <c r="C7" s="9" t="s">
        <v>206</v>
      </c>
      <c r="D7" s="12" t="str">
        <f t="shared" si="0"/>
        <v>106 玉子園</v>
      </c>
      <c r="E7" s="12" t="s">
        <v>207</v>
      </c>
      <c r="F7" s="13" t="s">
        <v>208</v>
      </c>
      <c r="G7" s="14">
        <v>21.64</v>
      </c>
      <c r="H7" s="13">
        <v>21.7</v>
      </c>
      <c r="I7" s="14">
        <v>24.53</v>
      </c>
      <c r="J7" s="14">
        <v>20.03</v>
      </c>
      <c r="K7" s="9" t="s">
        <v>209</v>
      </c>
      <c r="L7" s="15">
        <v>26</v>
      </c>
      <c r="M7" s="15">
        <v>28</v>
      </c>
      <c r="N7" s="15">
        <f t="shared" si="1"/>
        <v>27</v>
      </c>
      <c r="O7" s="15">
        <f t="shared" si="2"/>
        <v>1</v>
      </c>
      <c r="P7" s="9" t="s">
        <v>209</v>
      </c>
      <c r="Q7" s="15">
        <v>26</v>
      </c>
      <c r="R7" s="15">
        <v>28</v>
      </c>
      <c r="S7" s="15">
        <f t="shared" si="3"/>
        <v>2</v>
      </c>
      <c r="T7" s="15">
        <f t="shared" si="4"/>
        <v>27</v>
      </c>
      <c r="U7" s="15" t="s">
        <v>138</v>
      </c>
      <c r="Y7" s="9" t="s">
        <v>210</v>
      </c>
      <c r="Z7" s="16">
        <v>130</v>
      </c>
      <c r="AA7" s="16">
        <v>205</v>
      </c>
      <c r="AB7" s="9" t="s">
        <v>112</v>
      </c>
      <c r="AC7" s="9" t="s">
        <v>77</v>
      </c>
      <c r="AD7" s="9" t="s">
        <v>211</v>
      </c>
      <c r="AE7" s="10">
        <v>2021</v>
      </c>
      <c r="AF7" s="9" t="s">
        <v>212</v>
      </c>
      <c r="AG7" s="9" t="s">
        <v>80</v>
      </c>
      <c r="AH7" s="9" t="s">
        <v>213</v>
      </c>
      <c r="AI7" s="9" t="s">
        <v>116</v>
      </c>
      <c r="AJ7" s="9" t="s">
        <v>83</v>
      </c>
      <c r="AK7" s="9" t="s">
        <v>117</v>
      </c>
      <c r="AL7" s="9" t="s">
        <v>214</v>
      </c>
      <c r="AM7" s="9" t="s">
        <v>215</v>
      </c>
      <c r="AN7" s="9" t="s">
        <v>216</v>
      </c>
      <c r="AO7" s="9" t="s">
        <v>217</v>
      </c>
      <c r="AP7" s="9" t="s">
        <v>89</v>
      </c>
      <c r="AQ7" s="9" t="s">
        <v>218</v>
      </c>
      <c r="AR7" s="9" t="s">
        <v>219</v>
      </c>
      <c r="AS7" s="9" t="s">
        <v>220</v>
      </c>
      <c r="AT7" s="9" t="s">
        <v>221</v>
      </c>
      <c r="AU7" s="18">
        <v>0.315</v>
      </c>
      <c r="AV7" s="9" t="s">
        <v>222</v>
      </c>
      <c r="AW7" s="9">
        <v>186</v>
      </c>
      <c r="AX7" s="9">
        <v>7</v>
      </c>
      <c r="AY7" s="9" t="s">
        <v>223</v>
      </c>
      <c r="AZ7" s="18">
        <v>0.44230000000000003</v>
      </c>
      <c r="BA7" s="9" t="s">
        <v>127</v>
      </c>
      <c r="BB7" s="9">
        <v>15</v>
      </c>
      <c r="BC7" s="9" t="s">
        <v>224</v>
      </c>
      <c r="BD7" s="9" t="s">
        <v>96</v>
      </c>
      <c r="BE7" s="11" t="s">
        <v>225</v>
      </c>
      <c r="BF7" s="19">
        <v>0.99</v>
      </c>
      <c r="BG7" s="9" t="s">
        <v>98</v>
      </c>
      <c r="BH7" s="9" t="s">
        <v>226</v>
      </c>
      <c r="BI7" s="9">
        <v>1042.98</v>
      </c>
      <c r="BJ7" s="9" t="s">
        <v>100</v>
      </c>
      <c r="BK7" s="9" t="s">
        <v>101</v>
      </c>
      <c r="BL7" s="9" t="s">
        <v>102</v>
      </c>
      <c r="BM7" s="9" t="s">
        <v>102</v>
      </c>
      <c r="BN7" s="9" t="s">
        <v>227</v>
      </c>
      <c r="BO7" s="9" t="s">
        <v>133</v>
      </c>
      <c r="BP7" s="9" t="s">
        <v>102</v>
      </c>
      <c r="BQ7" s="9" t="s">
        <v>105</v>
      </c>
    </row>
    <row r="8" spans="1:69">
      <c r="A8" s="10">
        <v>107</v>
      </c>
      <c r="B8" s="11" t="s">
        <v>69</v>
      </c>
      <c r="C8" s="9" t="s">
        <v>228</v>
      </c>
      <c r="D8" s="12" t="str">
        <f t="shared" si="0"/>
        <v>107 台北國際村</v>
      </c>
      <c r="E8" s="12" t="s">
        <v>229</v>
      </c>
      <c r="F8" s="13" t="s">
        <v>230</v>
      </c>
      <c r="G8" s="14">
        <v>22.83</v>
      </c>
      <c r="H8" s="13">
        <v>21.34</v>
      </c>
      <c r="I8" s="14">
        <v>25.94</v>
      </c>
      <c r="J8" s="14">
        <v>19.53</v>
      </c>
      <c r="K8" s="9" t="s">
        <v>231</v>
      </c>
      <c r="L8" s="15">
        <v>25</v>
      </c>
      <c r="M8" s="15">
        <v>26</v>
      </c>
      <c r="N8" s="15">
        <f t="shared" si="1"/>
        <v>25.5</v>
      </c>
      <c r="O8" s="15">
        <f t="shared" si="2"/>
        <v>0.5</v>
      </c>
      <c r="P8" s="9" t="s">
        <v>232</v>
      </c>
      <c r="Q8" s="15">
        <v>27</v>
      </c>
      <c r="R8" s="15">
        <v>29</v>
      </c>
      <c r="S8" s="15">
        <f t="shared" si="3"/>
        <v>2</v>
      </c>
      <c r="T8" s="15">
        <f t="shared" si="4"/>
        <v>28</v>
      </c>
      <c r="V8" s="9" t="s">
        <v>233</v>
      </c>
      <c r="W8" s="20" t="s">
        <v>234</v>
      </c>
      <c r="Y8" s="9" t="s">
        <v>235</v>
      </c>
      <c r="Z8" s="16">
        <v>160</v>
      </c>
      <c r="AA8" s="16">
        <v>195</v>
      </c>
      <c r="AB8" s="9" t="s">
        <v>112</v>
      </c>
      <c r="AC8" s="9" t="s">
        <v>77</v>
      </c>
      <c r="AD8" s="9" t="s">
        <v>236</v>
      </c>
      <c r="AE8" s="10">
        <v>2021</v>
      </c>
      <c r="AF8" s="9" t="s">
        <v>237</v>
      </c>
      <c r="AG8" s="9" t="s">
        <v>80</v>
      </c>
      <c r="AH8" s="9" t="s">
        <v>238</v>
      </c>
      <c r="AI8" s="9" t="s">
        <v>116</v>
      </c>
      <c r="AJ8" s="9" t="s">
        <v>83</v>
      </c>
      <c r="AK8" s="9" t="s">
        <v>117</v>
      </c>
      <c r="AL8" s="9" t="s">
        <v>239</v>
      </c>
      <c r="AM8" s="9" t="s">
        <v>240</v>
      </c>
      <c r="AN8" s="9" t="s">
        <v>241</v>
      </c>
      <c r="AO8" s="9" t="s">
        <v>242</v>
      </c>
      <c r="AP8" s="9" t="s">
        <v>89</v>
      </c>
      <c r="AQ8" s="9" t="s">
        <v>121</v>
      </c>
      <c r="AR8" s="9" t="s">
        <v>243</v>
      </c>
      <c r="AS8" s="9" t="s">
        <v>150</v>
      </c>
      <c r="AT8" s="9" t="s">
        <v>221</v>
      </c>
      <c r="AU8" s="18">
        <v>0.315</v>
      </c>
      <c r="AV8" s="9" t="s">
        <v>244</v>
      </c>
      <c r="AW8" s="9">
        <v>198</v>
      </c>
      <c r="AX8" s="9">
        <v>8</v>
      </c>
      <c r="AY8" s="9" t="s">
        <v>245</v>
      </c>
      <c r="AZ8" s="18">
        <v>0.45669999999999999</v>
      </c>
      <c r="BA8" s="9" t="s">
        <v>246</v>
      </c>
      <c r="BB8" s="9">
        <v>15</v>
      </c>
      <c r="BC8" s="9" t="s">
        <v>247</v>
      </c>
      <c r="BD8" s="9" t="s">
        <v>96</v>
      </c>
      <c r="BE8" s="11" t="s">
        <v>155</v>
      </c>
      <c r="BF8" s="19">
        <v>1</v>
      </c>
      <c r="BG8" s="9" t="s">
        <v>98</v>
      </c>
      <c r="BH8" s="9" t="s">
        <v>248</v>
      </c>
      <c r="BI8" s="9">
        <v>1054.47</v>
      </c>
      <c r="BJ8" s="9" t="s">
        <v>100</v>
      </c>
      <c r="BK8" s="9" t="s">
        <v>101</v>
      </c>
      <c r="BL8" s="9" t="s">
        <v>102</v>
      </c>
      <c r="BM8" s="9" t="s">
        <v>102</v>
      </c>
      <c r="BN8" s="9" t="s">
        <v>249</v>
      </c>
      <c r="BO8" s="9" t="s">
        <v>133</v>
      </c>
      <c r="BP8" s="9" t="s">
        <v>102</v>
      </c>
      <c r="BQ8" s="9" t="s">
        <v>105</v>
      </c>
    </row>
    <row r="9" spans="1:69">
      <c r="A9" s="10">
        <v>108</v>
      </c>
      <c r="B9" s="11" t="s">
        <v>69</v>
      </c>
      <c r="C9" s="9" t="s">
        <v>250</v>
      </c>
      <c r="D9" s="12" t="str">
        <f t="shared" si="0"/>
        <v>108 豐邑氧森</v>
      </c>
      <c r="E9" s="12" t="s">
        <v>1120</v>
      </c>
      <c r="F9" s="20" t="s">
        <v>251</v>
      </c>
      <c r="G9" s="19">
        <v>36.78</v>
      </c>
      <c r="H9" s="9" t="s">
        <v>252</v>
      </c>
      <c r="I9" s="19">
        <v>38.119999999999997</v>
      </c>
      <c r="J9" s="19">
        <v>35.590000000000003</v>
      </c>
      <c r="P9" s="15" t="s">
        <v>253</v>
      </c>
      <c r="Q9" s="15">
        <v>41</v>
      </c>
      <c r="R9" s="15">
        <v>41</v>
      </c>
      <c r="T9" s="15">
        <f t="shared" si="4"/>
        <v>41</v>
      </c>
      <c r="Y9" s="9" t="s">
        <v>254</v>
      </c>
      <c r="Z9" s="16">
        <v>200</v>
      </c>
      <c r="AA9" s="16">
        <v>200</v>
      </c>
      <c r="AC9" s="9" t="s">
        <v>77</v>
      </c>
      <c r="AD9" s="9" t="s">
        <v>255</v>
      </c>
      <c r="AE9" s="10">
        <v>2025</v>
      </c>
      <c r="AF9" s="9" t="s">
        <v>256</v>
      </c>
      <c r="AG9" s="9" t="s">
        <v>80</v>
      </c>
      <c r="AH9" s="9" t="s">
        <v>257</v>
      </c>
      <c r="AI9" s="9" t="s">
        <v>258</v>
      </c>
      <c r="AJ9" s="9" t="s">
        <v>83</v>
      </c>
      <c r="AK9" s="9" t="s">
        <v>259</v>
      </c>
      <c r="AL9" s="9" t="s">
        <v>260</v>
      </c>
      <c r="AM9" s="9" t="s">
        <v>260</v>
      </c>
      <c r="AN9" s="9" t="s">
        <v>261</v>
      </c>
      <c r="AO9" s="9" t="s">
        <v>262</v>
      </c>
      <c r="AP9" s="9" t="s">
        <v>263</v>
      </c>
      <c r="AQ9" s="9" t="s">
        <v>264</v>
      </c>
      <c r="AR9" s="9" t="s">
        <v>265</v>
      </c>
      <c r="AT9" s="18">
        <v>0.33110000000000001</v>
      </c>
      <c r="AU9" s="18">
        <v>0.33110000000000001</v>
      </c>
      <c r="AV9" s="9" t="s">
        <v>266</v>
      </c>
      <c r="AW9" s="9">
        <v>320</v>
      </c>
      <c r="AX9" s="9">
        <v>8</v>
      </c>
      <c r="AY9" s="18">
        <v>0.2928</v>
      </c>
      <c r="AZ9" s="18">
        <v>0.2928</v>
      </c>
      <c r="BA9" s="9" t="s">
        <v>267</v>
      </c>
      <c r="BB9" s="9">
        <v>21</v>
      </c>
      <c r="BC9" s="9" t="s">
        <v>268</v>
      </c>
      <c r="BD9" s="9" t="s">
        <v>269</v>
      </c>
      <c r="BE9" s="11" t="s">
        <v>270</v>
      </c>
      <c r="BF9" s="19">
        <v>1.1399999999999999</v>
      </c>
      <c r="BG9" s="9" t="s">
        <v>271</v>
      </c>
      <c r="BH9" s="9" t="s">
        <v>272</v>
      </c>
      <c r="BI9" s="19">
        <v>1761.89</v>
      </c>
      <c r="BJ9" s="9" t="s">
        <v>100</v>
      </c>
      <c r="BK9" s="9" t="s">
        <v>273</v>
      </c>
      <c r="BN9" s="9" t="s">
        <v>274</v>
      </c>
      <c r="BO9" s="9" t="s">
        <v>275</v>
      </c>
      <c r="BQ9" s="9" t="s">
        <v>105</v>
      </c>
    </row>
    <row r="10" spans="1:69">
      <c r="A10" s="10">
        <v>201</v>
      </c>
      <c r="B10" s="11" t="s">
        <v>276</v>
      </c>
      <c r="C10" s="9" t="s">
        <v>277</v>
      </c>
      <c r="D10" s="12" t="str">
        <f t="shared" si="0"/>
        <v>201 富宇上城</v>
      </c>
      <c r="E10" s="12" t="s">
        <v>278</v>
      </c>
      <c r="F10" s="13" t="s">
        <v>279</v>
      </c>
      <c r="G10" s="14"/>
      <c r="H10" s="13"/>
      <c r="I10" s="14"/>
      <c r="J10" s="14"/>
      <c r="K10" s="9" t="s">
        <v>280</v>
      </c>
      <c r="L10" s="15">
        <v>30</v>
      </c>
      <c r="M10" s="15">
        <v>35</v>
      </c>
      <c r="N10" s="15">
        <f t="shared" ref="N10:N44" si="5">(L10+M10)/2</f>
        <v>32.5</v>
      </c>
      <c r="O10" s="15">
        <f t="shared" ref="O10:O44" si="6">M10-N10</f>
        <v>2.5</v>
      </c>
      <c r="P10" s="9" t="s">
        <v>281</v>
      </c>
      <c r="Q10" s="15">
        <v>44</v>
      </c>
      <c r="R10" s="15">
        <v>49</v>
      </c>
      <c r="S10" s="15">
        <f t="shared" ref="S10:S44" si="7">R10-Q10</f>
        <v>5</v>
      </c>
      <c r="T10" s="15">
        <f t="shared" si="4"/>
        <v>46.5</v>
      </c>
      <c r="Y10" s="9" t="s">
        <v>282</v>
      </c>
      <c r="Z10" s="16">
        <v>170</v>
      </c>
      <c r="AA10" s="16">
        <v>205</v>
      </c>
      <c r="AB10" s="9" t="s">
        <v>112</v>
      </c>
      <c r="AC10" s="9" t="s">
        <v>77</v>
      </c>
      <c r="AD10" s="9" t="s">
        <v>283</v>
      </c>
      <c r="AE10" s="10">
        <v>2025</v>
      </c>
      <c r="AF10" s="9" t="s">
        <v>284</v>
      </c>
      <c r="AG10" s="9" t="s">
        <v>80</v>
      </c>
      <c r="AH10" s="9" t="s">
        <v>285</v>
      </c>
      <c r="AI10" s="9" t="s">
        <v>116</v>
      </c>
      <c r="AJ10" s="9" t="s">
        <v>83</v>
      </c>
      <c r="AK10" s="9" t="s">
        <v>117</v>
      </c>
      <c r="AL10" s="9" t="s">
        <v>286</v>
      </c>
      <c r="AM10" s="9" t="s">
        <v>287</v>
      </c>
      <c r="AN10" s="9" t="s">
        <v>288</v>
      </c>
      <c r="AO10" s="9" t="s">
        <v>289</v>
      </c>
      <c r="AP10" s="9" t="s">
        <v>289</v>
      </c>
      <c r="AQ10" s="9" t="s">
        <v>290</v>
      </c>
      <c r="AR10" s="9" t="s">
        <v>291</v>
      </c>
      <c r="AS10" s="9" t="s">
        <v>292</v>
      </c>
      <c r="AT10" s="9" t="s">
        <v>293</v>
      </c>
      <c r="AU10" s="18">
        <v>0.33500000000000002</v>
      </c>
      <c r="AV10" s="9" t="s">
        <v>294</v>
      </c>
      <c r="AW10" s="9">
        <v>832</v>
      </c>
      <c r="AX10" s="9">
        <v>0</v>
      </c>
      <c r="AY10" s="9" t="s">
        <v>295</v>
      </c>
      <c r="AZ10" s="18">
        <v>0.31069999999999998</v>
      </c>
      <c r="BA10" s="9" t="s">
        <v>296</v>
      </c>
      <c r="BB10" s="9">
        <v>24</v>
      </c>
      <c r="BC10" s="9" t="s">
        <v>297</v>
      </c>
      <c r="BD10" s="9" t="s">
        <v>298</v>
      </c>
      <c r="BE10" s="11" t="s">
        <v>299</v>
      </c>
      <c r="BF10" s="19">
        <v>1.1200000000000001</v>
      </c>
      <c r="BG10" s="9" t="s">
        <v>98</v>
      </c>
      <c r="BH10" s="9" t="s">
        <v>300</v>
      </c>
      <c r="BI10" s="9">
        <v>4046.9</v>
      </c>
      <c r="BJ10" s="9" t="s">
        <v>100</v>
      </c>
      <c r="BK10" s="9" t="s">
        <v>301</v>
      </c>
      <c r="BL10" s="9" t="s">
        <v>102</v>
      </c>
      <c r="BM10" s="9" t="s">
        <v>102</v>
      </c>
      <c r="BN10" s="9" t="s">
        <v>302</v>
      </c>
      <c r="BO10" s="9" t="s">
        <v>303</v>
      </c>
      <c r="BP10" s="9" t="s">
        <v>102</v>
      </c>
      <c r="BQ10" s="9" t="s">
        <v>134</v>
      </c>
    </row>
    <row r="11" spans="1:69">
      <c r="A11" s="10">
        <v>202</v>
      </c>
      <c r="B11" s="11" t="s">
        <v>276</v>
      </c>
      <c r="C11" s="9" t="s">
        <v>304</v>
      </c>
      <c r="D11" s="12" t="str">
        <f t="shared" si="0"/>
        <v>202 禾悅花園</v>
      </c>
      <c r="E11" s="12" t="s">
        <v>305</v>
      </c>
      <c r="F11" s="13" t="s">
        <v>306</v>
      </c>
      <c r="G11" s="14">
        <v>29.88</v>
      </c>
      <c r="H11" s="13" t="s">
        <v>307</v>
      </c>
      <c r="I11" s="14">
        <v>37.450000000000003</v>
      </c>
      <c r="J11" s="14">
        <v>21.36</v>
      </c>
      <c r="K11" s="9" t="s">
        <v>308</v>
      </c>
      <c r="L11" s="15">
        <v>28</v>
      </c>
      <c r="M11" s="15">
        <v>29</v>
      </c>
      <c r="N11" s="15">
        <f t="shared" si="5"/>
        <v>28.5</v>
      </c>
      <c r="O11" s="15">
        <f t="shared" si="6"/>
        <v>0.5</v>
      </c>
      <c r="P11" s="9" t="s">
        <v>309</v>
      </c>
      <c r="Q11" s="15">
        <v>35</v>
      </c>
      <c r="R11" s="15">
        <v>37</v>
      </c>
      <c r="S11" s="15">
        <f t="shared" si="7"/>
        <v>2</v>
      </c>
      <c r="T11" s="15">
        <f t="shared" si="4"/>
        <v>36</v>
      </c>
      <c r="Y11" s="9" t="s">
        <v>310</v>
      </c>
      <c r="Z11" s="16">
        <v>130</v>
      </c>
      <c r="AA11" s="16">
        <v>200</v>
      </c>
      <c r="AB11" s="9" t="s">
        <v>112</v>
      </c>
      <c r="AC11" s="9" t="s">
        <v>77</v>
      </c>
      <c r="AD11" s="9" t="s">
        <v>311</v>
      </c>
      <c r="AE11" s="10">
        <v>2025</v>
      </c>
      <c r="AF11" s="9" t="s">
        <v>284</v>
      </c>
      <c r="AG11" s="9" t="s">
        <v>80</v>
      </c>
      <c r="AH11" s="9" t="s">
        <v>312</v>
      </c>
      <c r="AI11" s="9" t="s">
        <v>116</v>
      </c>
      <c r="AJ11" s="9" t="s">
        <v>83</v>
      </c>
      <c r="AK11" s="9" t="s">
        <v>117</v>
      </c>
      <c r="AL11" s="9" t="s">
        <v>313</v>
      </c>
      <c r="AM11" s="9" t="s">
        <v>314</v>
      </c>
      <c r="AN11" s="9" t="s">
        <v>315</v>
      </c>
      <c r="AO11" s="12" t="s">
        <v>316</v>
      </c>
      <c r="AP11" s="12" t="s">
        <v>316</v>
      </c>
      <c r="AQ11" s="9" t="s">
        <v>317</v>
      </c>
      <c r="AR11" s="9" t="s">
        <v>318</v>
      </c>
      <c r="AS11" s="9" t="s">
        <v>319</v>
      </c>
      <c r="AT11" s="9" t="s">
        <v>293</v>
      </c>
      <c r="AU11" s="18">
        <v>0.33500000000000002</v>
      </c>
      <c r="AV11" s="9" t="s">
        <v>320</v>
      </c>
      <c r="AW11" s="9">
        <v>1044</v>
      </c>
      <c r="AX11" s="9">
        <v>0</v>
      </c>
      <c r="AY11" s="9" t="s">
        <v>321</v>
      </c>
      <c r="AZ11" s="18">
        <v>0.52939999999999998</v>
      </c>
      <c r="BA11" s="9" t="s">
        <v>322</v>
      </c>
      <c r="BB11" s="9">
        <v>15</v>
      </c>
      <c r="BC11" s="9" t="s">
        <v>323</v>
      </c>
      <c r="BD11" s="9" t="s">
        <v>324</v>
      </c>
      <c r="BE11" s="11" t="s">
        <v>325</v>
      </c>
      <c r="BF11" s="19">
        <v>1.02</v>
      </c>
      <c r="BG11" s="9" t="s">
        <v>98</v>
      </c>
      <c r="BH11" s="9" t="s">
        <v>326</v>
      </c>
      <c r="BI11" s="9">
        <v>4720.8900000000003</v>
      </c>
      <c r="BJ11" s="9" t="s">
        <v>100</v>
      </c>
      <c r="BK11" s="9" t="s">
        <v>301</v>
      </c>
      <c r="BL11" s="9" t="s">
        <v>102</v>
      </c>
      <c r="BM11" s="9" t="s">
        <v>102</v>
      </c>
      <c r="BN11" s="9" t="s">
        <v>327</v>
      </c>
      <c r="BO11" s="9" t="s">
        <v>328</v>
      </c>
      <c r="BP11" s="9" t="s">
        <v>102</v>
      </c>
      <c r="BQ11" s="9" t="s">
        <v>134</v>
      </c>
    </row>
    <row r="12" spans="1:69">
      <c r="A12" s="10">
        <v>203</v>
      </c>
      <c r="B12" s="11" t="s">
        <v>276</v>
      </c>
      <c r="C12" s="9" t="s">
        <v>329</v>
      </c>
      <c r="D12" s="12" t="str">
        <f t="shared" si="0"/>
        <v>203 耀台北</v>
      </c>
      <c r="E12" s="12" t="s">
        <v>330</v>
      </c>
      <c r="F12" s="13" t="s">
        <v>331</v>
      </c>
      <c r="G12" s="14">
        <v>24.43</v>
      </c>
      <c r="H12" s="13">
        <v>22.23</v>
      </c>
      <c r="I12" s="14">
        <v>25.36</v>
      </c>
      <c r="J12" s="14">
        <v>19.66</v>
      </c>
      <c r="K12" s="9" t="s">
        <v>209</v>
      </c>
      <c r="L12" s="15">
        <v>26</v>
      </c>
      <c r="M12" s="15">
        <v>28</v>
      </c>
      <c r="N12" s="15">
        <f t="shared" si="5"/>
        <v>27</v>
      </c>
      <c r="O12" s="15">
        <f t="shared" si="6"/>
        <v>1</v>
      </c>
      <c r="P12" s="9" t="s">
        <v>332</v>
      </c>
      <c r="Q12" s="15">
        <v>26</v>
      </c>
      <c r="R12" s="15">
        <v>28</v>
      </c>
      <c r="S12" s="15">
        <f t="shared" si="7"/>
        <v>2</v>
      </c>
      <c r="T12" s="15">
        <f t="shared" si="4"/>
        <v>27</v>
      </c>
      <c r="U12" s="15" t="s">
        <v>138</v>
      </c>
      <c r="Y12" s="9" t="s">
        <v>333</v>
      </c>
      <c r="Z12" s="16">
        <v>170</v>
      </c>
      <c r="AA12" s="16">
        <v>195</v>
      </c>
      <c r="AB12" s="9" t="s">
        <v>142</v>
      </c>
      <c r="AC12" s="9" t="s">
        <v>77</v>
      </c>
      <c r="AD12" s="9" t="s">
        <v>143</v>
      </c>
      <c r="AE12" s="10">
        <v>2020</v>
      </c>
      <c r="AF12" s="9" t="s">
        <v>167</v>
      </c>
      <c r="AG12" s="9" t="s">
        <v>80</v>
      </c>
      <c r="AH12" s="9" t="s">
        <v>334</v>
      </c>
      <c r="AI12" s="9" t="s">
        <v>116</v>
      </c>
      <c r="AJ12" s="9" t="s">
        <v>83</v>
      </c>
      <c r="AK12" s="9" t="s">
        <v>117</v>
      </c>
      <c r="AL12" s="9" t="s">
        <v>335</v>
      </c>
      <c r="AM12" s="9" t="s">
        <v>336</v>
      </c>
      <c r="AN12" s="9" t="s">
        <v>337</v>
      </c>
      <c r="AO12" s="9" t="s">
        <v>338</v>
      </c>
      <c r="AP12" s="9" t="s">
        <v>89</v>
      </c>
      <c r="AQ12" s="9" t="s">
        <v>121</v>
      </c>
      <c r="AR12" s="9" t="s">
        <v>219</v>
      </c>
      <c r="AS12" s="9" t="s">
        <v>339</v>
      </c>
      <c r="AT12" s="9" t="s">
        <v>151</v>
      </c>
      <c r="AU12" s="18">
        <v>0.315</v>
      </c>
      <c r="AV12" s="9" t="s">
        <v>340</v>
      </c>
      <c r="AW12" s="9">
        <v>199</v>
      </c>
      <c r="AX12" s="9">
        <v>2</v>
      </c>
      <c r="AY12" s="9" t="s">
        <v>341</v>
      </c>
      <c r="AZ12" s="18">
        <v>0.46139999999999998</v>
      </c>
      <c r="BA12" s="9" t="s">
        <v>246</v>
      </c>
      <c r="BB12" s="9">
        <v>15</v>
      </c>
      <c r="BC12" s="9" t="s">
        <v>342</v>
      </c>
      <c r="BD12" s="9" t="s">
        <v>96</v>
      </c>
      <c r="BE12" s="11" t="s">
        <v>343</v>
      </c>
      <c r="BF12" s="19">
        <v>1.01</v>
      </c>
      <c r="BG12" s="9" t="s">
        <v>98</v>
      </c>
      <c r="BH12" s="9" t="s">
        <v>344</v>
      </c>
      <c r="BI12" s="9">
        <v>909.91</v>
      </c>
      <c r="BJ12" s="9" t="s">
        <v>100</v>
      </c>
      <c r="BK12" s="9" t="s">
        <v>101</v>
      </c>
      <c r="BL12" s="9" t="s">
        <v>102</v>
      </c>
      <c r="BM12" s="9" t="s">
        <v>102</v>
      </c>
      <c r="BN12" s="9" t="s">
        <v>345</v>
      </c>
      <c r="BO12" s="9" t="s">
        <v>133</v>
      </c>
      <c r="BP12" s="9" t="s">
        <v>102</v>
      </c>
      <c r="BQ12" s="9" t="s">
        <v>134</v>
      </c>
    </row>
    <row r="13" spans="1:69" ht="16">
      <c r="A13" s="10">
        <v>204</v>
      </c>
      <c r="B13" s="11" t="s">
        <v>276</v>
      </c>
      <c r="C13" s="23" t="s">
        <v>346</v>
      </c>
      <c r="D13" s="12" t="str">
        <f t="shared" si="0"/>
        <v>204 皇普MVP</v>
      </c>
      <c r="E13" s="12" t="s">
        <v>347</v>
      </c>
      <c r="F13" s="9" t="s">
        <v>348</v>
      </c>
      <c r="G13" s="19">
        <v>24.17</v>
      </c>
      <c r="H13" s="9" t="s">
        <v>349</v>
      </c>
      <c r="I13" s="19">
        <v>26.76</v>
      </c>
      <c r="J13" s="19">
        <v>21.03</v>
      </c>
      <c r="K13" s="9" t="s">
        <v>350</v>
      </c>
      <c r="L13" s="15">
        <v>25</v>
      </c>
      <c r="M13" s="15">
        <v>26</v>
      </c>
      <c r="N13" s="15">
        <f t="shared" si="5"/>
        <v>25.5</v>
      </c>
      <c r="O13" s="15">
        <f t="shared" si="6"/>
        <v>0.5</v>
      </c>
      <c r="P13" s="9" t="s">
        <v>351</v>
      </c>
      <c r="Q13" s="15">
        <v>27</v>
      </c>
      <c r="R13" s="15">
        <v>28</v>
      </c>
      <c r="S13" s="15">
        <f t="shared" si="7"/>
        <v>1</v>
      </c>
      <c r="T13" s="15">
        <f t="shared" si="4"/>
        <v>27.5</v>
      </c>
      <c r="V13" s="9" t="s">
        <v>352</v>
      </c>
      <c r="W13" s="20" t="s">
        <v>353</v>
      </c>
      <c r="AB13" s="17">
        <v>0.8</v>
      </c>
      <c r="AC13" s="9" t="s">
        <v>77</v>
      </c>
      <c r="AD13" s="9" t="s">
        <v>354</v>
      </c>
      <c r="AE13" s="10">
        <v>2021</v>
      </c>
      <c r="AF13" s="9" t="s">
        <v>212</v>
      </c>
      <c r="AG13" s="9" t="s">
        <v>80</v>
      </c>
      <c r="AH13" s="9" t="s">
        <v>355</v>
      </c>
      <c r="AI13" s="24" t="s">
        <v>116</v>
      </c>
      <c r="AJ13" s="9" t="s">
        <v>83</v>
      </c>
      <c r="AK13" s="9" t="s">
        <v>117</v>
      </c>
      <c r="AL13" s="9" t="s">
        <v>356</v>
      </c>
      <c r="AM13" s="9" t="s">
        <v>357</v>
      </c>
      <c r="AN13" s="9" t="s">
        <v>358</v>
      </c>
      <c r="AO13" s="9" t="s">
        <v>359</v>
      </c>
      <c r="AP13" s="9" t="s">
        <v>89</v>
      </c>
      <c r="AQ13" s="9" t="s">
        <v>360</v>
      </c>
      <c r="AR13" s="9" t="s">
        <v>361</v>
      </c>
      <c r="AS13" s="9" t="s">
        <v>362</v>
      </c>
      <c r="AT13" s="18">
        <v>0.31859999999999999</v>
      </c>
      <c r="AU13" s="18">
        <v>0.31859999999999999</v>
      </c>
      <c r="AV13" s="9" t="s">
        <v>363</v>
      </c>
      <c r="AW13" s="9">
        <v>308</v>
      </c>
      <c r="AX13" s="9">
        <v>13</v>
      </c>
      <c r="AY13" s="18">
        <v>0.47989999999999999</v>
      </c>
      <c r="AZ13" s="18">
        <v>0.47989999999999999</v>
      </c>
      <c r="BA13" s="9" t="s">
        <v>94</v>
      </c>
      <c r="BB13" s="9">
        <v>15</v>
      </c>
      <c r="BC13" s="18" t="s">
        <v>364</v>
      </c>
      <c r="BD13" s="9" t="s">
        <v>365</v>
      </c>
      <c r="BE13" s="11" t="s">
        <v>155</v>
      </c>
      <c r="BF13" s="19">
        <v>1</v>
      </c>
      <c r="BG13" s="9" t="s">
        <v>98</v>
      </c>
      <c r="BH13" s="9" t="s">
        <v>366</v>
      </c>
      <c r="BI13" s="9">
        <v>1390.39</v>
      </c>
      <c r="BJ13" s="9" t="s">
        <v>100</v>
      </c>
      <c r="BK13" s="9" t="s">
        <v>367</v>
      </c>
      <c r="BL13" s="9" t="s">
        <v>102</v>
      </c>
      <c r="BM13" s="9" t="s">
        <v>102</v>
      </c>
      <c r="BN13" s="9" t="s">
        <v>368</v>
      </c>
      <c r="BO13" s="9" t="s">
        <v>369</v>
      </c>
      <c r="BP13" s="9" t="s">
        <v>102</v>
      </c>
      <c r="BQ13" s="9" t="s">
        <v>134</v>
      </c>
    </row>
    <row r="14" spans="1:69">
      <c r="A14" s="10">
        <v>205</v>
      </c>
      <c r="B14" s="11" t="s">
        <v>276</v>
      </c>
      <c r="C14" s="9" t="s">
        <v>370</v>
      </c>
      <c r="D14" s="12" t="str">
        <f t="shared" si="0"/>
        <v>205 富宇敦峰</v>
      </c>
      <c r="E14" s="12" t="s">
        <v>371</v>
      </c>
      <c r="F14" s="13" t="s">
        <v>372</v>
      </c>
      <c r="G14" s="14">
        <v>29.71</v>
      </c>
      <c r="H14" s="13">
        <v>25.55</v>
      </c>
      <c r="I14" s="14">
        <v>33.47</v>
      </c>
      <c r="J14" s="14">
        <v>22.21</v>
      </c>
      <c r="K14" s="9" t="s">
        <v>373</v>
      </c>
      <c r="L14" s="15">
        <v>30</v>
      </c>
      <c r="M14" s="15">
        <v>32</v>
      </c>
      <c r="N14" s="15">
        <f t="shared" si="5"/>
        <v>31</v>
      </c>
      <c r="O14" s="15">
        <f t="shared" si="6"/>
        <v>1</v>
      </c>
      <c r="P14" s="9" t="s">
        <v>374</v>
      </c>
      <c r="Q14" s="15">
        <v>38</v>
      </c>
      <c r="R14" s="15">
        <v>42</v>
      </c>
      <c r="S14" s="15">
        <f t="shared" si="7"/>
        <v>4</v>
      </c>
      <c r="T14" s="15">
        <f t="shared" si="4"/>
        <v>40</v>
      </c>
      <c r="V14" s="9" t="s">
        <v>375</v>
      </c>
      <c r="W14" s="20" t="s">
        <v>376</v>
      </c>
      <c r="Y14" s="9" t="s">
        <v>377</v>
      </c>
      <c r="Z14" s="16">
        <v>180</v>
      </c>
      <c r="AA14" s="16">
        <v>195</v>
      </c>
      <c r="AB14" s="9" t="s">
        <v>112</v>
      </c>
      <c r="AC14" s="9" t="s">
        <v>77</v>
      </c>
      <c r="AD14" s="9" t="s">
        <v>143</v>
      </c>
      <c r="AE14" s="10">
        <v>2020</v>
      </c>
      <c r="AF14" s="9" t="s">
        <v>167</v>
      </c>
      <c r="AG14" s="9" t="s">
        <v>80</v>
      </c>
      <c r="AH14" s="9" t="s">
        <v>378</v>
      </c>
      <c r="AI14" s="9" t="s">
        <v>146</v>
      </c>
      <c r="AJ14" s="9" t="s">
        <v>83</v>
      </c>
      <c r="AK14" s="9" t="s">
        <v>117</v>
      </c>
      <c r="AL14" s="9" t="s">
        <v>379</v>
      </c>
      <c r="AM14" s="9" t="s">
        <v>380</v>
      </c>
      <c r="AN14" s="9" t="s">
        <v>288</v>
      </c>
      <c r="AO14" s="9" t="s">
        <v>289</v>
      </c>
      <c r="AP14" s="9" t="s">
        <v>289</v>
      </c>
      <c r="AQ14" s="9" t="s">
        <v>381</v>
      </c>
      <c r="AR14" s="9" t="s">
        <v>382</v>
      </c>
      <c r="AS14" s="9" t="s">
        <v>383</v>
      </c>
      <c r="AT14" s="9" t="s">
        <v>384</v>
      </c>
      <c r="AU14" s="18">
        <v>0.33350000000000002</v>
      </c>
      <c r="AV14" s="9" t="s">
        <v>385</v>
      </c>
      <c r="AW14" s="9">
        <v>441</v>
      </c>
      <c r="AX14" s="9">
        <v>7</v>
      </c>
      <c r="AY14" s="9" t="s">
        <v>386</v>
      </c>
      <c r="AZ14" s="18">
        <v>0.43919999999999998</v>
      </c>
      <c r="BA14" s="9" t="s">
        <v>127</v>
      </c>
      <c r="BB14" s="9">
        <v>15</v>
      </c>
      <c r="BC14" s="9" t="s">
        <v>387</v>
      </c>
      <c r="BD14" s="9" t="s">
        <v>324</v>
      </c>
      <c r="BE14" s="11" t="s">
        <v>388</v>
      </c>
      <c r="BF14" s="19">
        <v>1.04</v>
      </c>
      <c r="BG14" s="9" t="s">
        <v>98</v>
      </c>
      <c r="BH14" s="9" t="s">
        <v>389</v>
      </c>
      <c r="BI14" s="9">
        <v>2727.34</v>
      </c>
      <c r="BJ14" s="9" t="s">
        <v>100</v>
      </c>
      <c r="BK14" s="9" t="s">
        <v>101</v>
      </c>
      <c r="BL14" s="9" t="s">
        <v>102</v>
      </c>
      <c r="BM14" s="9" t="s">
        <v>102</v>
      </c>
      <c r="BN14" s="9" t="s">
        <v>390</v>
      </c>
      <c r="BO14" s="9" t="s">
        <v>303</v>
      </c>
      <c r="BP14" s="9" t="s">
        <v>102</v>
      </c>
      <c r="BQ14" s="9" t="s">
        <v>134</v>
      </c>
    </row>
    <row r="15" spans="1:69" ht="16">
      <c r="A15" s="10">
        <v>206</v>
      </c>
      <c r="B15" s="11" t="s">
        <v>276</v>
      </c>
      <c r="C15" s="9" t="s">
        <v>391</v>
      </c>
      <c r="D15" s="12" t="str">
        <f t="shared" si="0"/>
        <v>206 玄泰V1</v>
      </c>
      <c r="E15" s="23" t="s">
        <v>392</v>
      </c>
      <c r="F15" s="13" t="s">
        <v>393</v>
      </c>
      <c r="G15" s="14"/>
      <c r="H15" s="13">
        <v>22.46</v>
      </c>
      <c r="I15" s="14">
        <v>28.11</v>
      </c>
      <c r="J15" s="14">
        <v>19.04</v>
      </c>
      <c r="K15" s="9" t="s">
        <v>394</v>
      </c>
      <c r="L15" s="15">
        <v>27</v>
      </c>
      <c r="M15" s="15">
        <v>29</v>
      </c>
      <c r="N15" s="15">
        <f t="shared" si="5"/>
        <v>28</v>
      </c>
      <c r="O15" s="15">
        <f t="shared" si="6"/>
        <v>1</v>
      </c>
      <c r="P15" s="9" t="s">
        <v>394</v>
      </c>
      <c r="Q15" s="15">
        <v>27</v>
      </c>
      <c r="R15" s="15">
        <v>29</v>
      </c>
      <c r="S15" s="15">
        <f t="shared" si="7"/>
        <v>2</v>
      </c>
      <c r="T15" s="15">
        <f t="shared" si="4"/>
        <v>28</v>
      </c>
      <c r="U15" s="15" t="s">
        <v>138</v>
      </c>
      <c r="Y15" s="9" t="s">
        <v>395</v>
      </c>
      <c r="Z15" s="16">
        <v>155</v>
      </c>
      <c r="AA15" s="16">
        <v>195</v>
      </c>
      <c r="AB15" s="9" t="s">
        <v>112</v>
      </c>
      <c r="AC15" s="9" t="s">
        <v>77</v>
      </c>
      <c r="AD15" s="9" t="s">
        <v>396</v>
      </c>
      <c r="AE15" s="10">
        <v>2023</v>
      </c>
      <c r="AF15" s="9" t="s">
        <v>397</v>
      </c>
      <c r="AG15" s="9" t="s">
        <v>80</v>
      </c>
      <c r="AH15" s="9" t="s">
        <v>398</v>
      </c>
      <c r="AI15" s="9" t="s">
        <v>116</v>
      </c>
      <c r="AJ15" s="9" t="s">
        <v>83</v>
      </c>
      <c r="AK15" s="9" t="s">
        <v>117</v>
      </c>
      <c r="AL15" s="9" t="s">
        <v>399</v>
      </c>
      <c r="AM15" s="9" t="s">
        <v>400</v>
      </c>
      <c r="AN15" s="9" t="s">
        <v>401</v>
      </c>
      <c r="AO15" s="9" t="s">
        <v>402</v>
      </c>
      <c r="AP15" s="9" t="s">
        <v>403</v>
      </c>
      <c r="AQ15" s="9" t="s">
        <v>404</v>
      </c>
      <c r="AR15" s="9" t="s">
        <v>405</v>
      </c>
      <c r="AS15" s="9" t="s">
        <v>406</v>
      </c>
      <c r="AT15" s="9" t="s">
        <v>407</v>
      </c>
      <c r="AU15" s="18">
        <v>0.31900000000000001</v>
      </c>
      <c r="AV15" s="9" t="s">
        <v>408</v>
      </c>
      <c r="AW15" s="9">
        <v>138</v>
      </c>
      <c r="AX15" s="9">
        <v>8</v>
      </c>
      <c r="AY15" s="9" t="s">
        <v>409</v>
      </c>
      <c r="AZ15" s="18">
        <v>0.60160000000000002</v>
      </c>
      <c r="BA15" s="9" t="s">
        <v>410</v>
      </c>
      <c r="BB15" s="9">
        <v>24</v>
      </c>
      <c r="BC15" s="9" t="s">
        <v>411</v>
      </c>
      <c r="BD15" s="9" t="s">
        <v>96</v>
      </c>
      <c r="BE15" s="11" t="s">
        <v>412</v>
      </c>
      <c r="BF15" s="19">
        <v>1.05</v>
      </c>
      <c r="BG15" s="9" t="s">
        <v>98</v>
      </c>
      <c r="BH15" s="9" t="s">
        <v>413</v>
      </c>
      <c r="BI15" s="9">
        <v>911.52</v>
      </c>
      <c r="BJ15" s="9" t="s">
        <v>100</v>
      </c>
      <c r="BK15" s="9" t="s">
        <v>414</v>
      </c>
      <c r="BL15" s="9" t="s">
        <v>102</v>
      </c>
      <c r="BM15" s="9" t="s">
        <v>102</v>
      </c>
      <c r="BN15" s="9" t="s">
        <v>415</v>
      </c>
      <c r="BO15" s="9" t="s">
        <v>416</v>
      </c>
      <c r="BP15" s="9" t="s">
        <v>102</v>
      </c>
      <c r="BQ15" s="9" t="s">
        <v>134</v>
      </c>
    </row>
    <row r="16" spans="1:69" ht="16">
      <c r="A16" s="10">
        <v>207</v>
      </c>
      <c r="B16" s="11" t="s">
        <v>276</v>
      </c>
      <c r="C16" s="9" t="s">
        <v>417</v>
      </c>
      <c r="D16" s="12" t="str">
        <f t="shared" si="0"/>
        <v>207 和耀恆美</v>
      </c>
      <c r="E16" s="23" t="s">
        <v>418</v>
      </c>
      <c r="F16" s="13" t="s">
        <v>419</v>
      </c>
      <c r="G16" s="14">
        <v>25.24</v>
      </c>
      <c r="H16" s="13" t="s">
        <v>420</v>
      </c>
      <c r="I16" s="14">
        <v>30.14</v>
      </c>
      <c r="J16" s="14">
        <v>21.86</v>
      </c>
      <c r="K16" s="9" t="s">
        <v>421</v>
      </c>
      <c r="L16" s="15">
        <v>28</v>
      </c>
      <c r="M16" s="15">
        <v>33</v>
      </c>
      <c r="N16" s="15">
        <f t="shared" si="5"/>
        <v>30.5</v>
      </c>
      <c r="O16" s="15">
        <f t="shared" si="6"/>
        <v>2.5</v>
      </c>
      <c r="P16" s="9" t="s">
        <v>422</v>
      </c>
      <c r="Q16" s="15">
        <v>35</v>
      </c>
      <c r="R16" s="15">
        <v>40</v>
      </c>
      <c r="S16" s="15">
        <f t="shared" si="7"/>
        <v>5</v>
      </c>
      <c r="T16" s="15">
        <f t="shared" si="4"/>
        <v>37.5</v>
      </c>
      <c r="Y16" s="9" t="s">
        <v>423</v>
      </c>
      <c r="AB16" s="9" t="s">
        <v>112</v>
      </c>
      <c r="AC16" s="9" t="s">
        <v>77</v>
      </c>
      <c r="AD16" s="9" t="s">
        <v>424</v>
      </c>
      <c r="AE16" s="10">
        <v>2022</v>
      </c>
      <c r="AF16" s="9" t="s">
        <v>425</v>
      </c>
      <c r="AG16" s="9" t="s">
        <v>80</v>
      </c>
      <c r="AH16" s="9" t="s">
        <v>426</v>
      </c>
      <c r="AI16" s="9" t="s">
        <v>116</v>
      </c>
      <c r="AJ16" s="9" t="s">
        <v>83</v>
      </c>
      <c r="AK16" s="9" t="s">
        <v>117</v>
      </c>
      <c r="AL16" s="9" t="s">
        <v>427</v>
      </c>
      <c r="AM16" s="9" t="s">
        <v>428</v>
      </c>
      <c r="AN16" s="9" t="s">
        <v>429</v>
      </c>
      <c r="AO16" s="9" t="s">
        <v>430</v>
      </c>
      <c r="AP16" s="9" t="s">
        <v>89</v>
      </c>
      <c r="AQ16" s="9" t="s">
        <v>90</v>
      </c>
      <c r="AR16" s="9" t="s">
        <v>431</v>
      </c>
      <c r="AS16" s="9" t="s">
        <v>432</v>
      </c>
      <c r="AT16" s="9" t="s">
        <v>433</v>
      </c>
      <c r="AU16" s="18">
        <v>0.32250000000000001</v>
      </c>
      <c r="AV16" s="9" t="s">
        <v>434</v>
      </c>
      <c r="AW16" s="9">
        <v>280</v>
      </c>
      <c r="AX16" s="9">
        <v>11</v>
      </c>
      <c r="AY16" s="18">
        <v>0.4743</v>
      </c>
      <c r="AZ16" s="18">
        <v>0.4743</v>
      </c>
      <c r="BA16" s="9" t="s">
        <v>94</v>
      </c>
      <c r="BB16" s="9">
        <v>15</v>
      </c>
      <c r="BC16" s="9" t="s">
        <v>435</v>
      </c>
      <c r="BD16" s="9" t="s">
        <v>96</v>
      </c>
      <c r="BE16" s="11" t="s">
        <v>436</v>
      </c>
      <c r="BF16" s="19">
        <v>1.01</v>
      </c>
      <c r="BG16" s="9" t="s">
        <v>98</v>
      </c>
      <c r="BH16" s="9" t="s">
        <v>437</v>
      </c>
      <c r="BI16" s="9">
        <v>1309.1400000000001</v>
      </c>
      <c r="BJ16" s="9" t="s">
        <v>100</v>
      </c>
      <c r="BK16" s="9" t="s">
        <v>367</v>
      </c>
      <c r="BM16" s="9" t="s">
        <v>102</v>
      </c>
      <c r="BN16" s="9" t="s">
        <v>438</v>
      </c>
      <c r="BO16" s="9" t="s">
        <v>369</v>
      </c>
      <c r="BP16" s="9" t="s">
        <v>102</v>
      </c>
      <c r="BQ16" s="9" t="s">
        <v>134</v>
      </c>
    </row>
    <row r="17" spans="1:69">
      <c r="A17" s="10">
        <v>301</v>
      </c>
      <c r="B17" s="11" t="s">
        <v>439</v>
      </c>
      <c r="C17" s="12" t="s">
        <v>440</v>
      </c>
      <c r="D17" s="12" t="str">
        <f t="shared" si="0"/>
        <v>301 允將大作</v>
      </c>
      <c r="E17" s="12" t="s">
        <v>441</v>
      </c>
      <c r="F17" s="20" t="s">
        <v>442</v>
      </c>
      <c r="G17" s="21"/>
      <c r="H17" s="22"/>
      <c r="I17" s="21"/>
      <c r="J17" s="21"/>
      <c r="K17" s="9" t="s">
        <v>443</v>
      </c>
      <c r="L17" s="15">
        <v>35</v>
      </c>
      <c r="M17" s="15">
        <v>38</v>
      </c>
      <c r="N17" s="15">
        <f t="shared" si="5"/>
        <v>36.5</v>
      </c>
      <c r="O17" s="15">
        <f t="shared" si="6"/>
        <v>1.5</v>
      </c>
      <c r="P17" s="9" t="s">
        <v>444</v>
      </c>
      <c r="Q17" s="15">
        <v>38</v>
      </c>
      <c r="R17" s="15">
        <v>43</v>
      </c>
      <c r="S17" s="15">
        <f t="shared" si="7"/>
        <v>5</v>
      </c>
      <c r="T17" s="15">
        <f t="shared" si="4"/>
        <v>40.5</v>
      </c>
      <c r="Y17" s="9" t="s">
        <v>445</v>
      </c>
      <c r="Z17" s="16">
        <v>140</v>
      </c>
      <c r="AA17" s="16">
        <v>210</v>
      </c>
      <c r="AB17" s="9" t="s">
        <v>112</v>
      </c>
      <c r="AC17" s="9" t="s">
        <v>77</v>
      </c>
      <c r="AD17" s="9" t="s">
        <v>446</v>
      </c>
      <c r="AE17" s="10">
        <v>2025</v>
      </c>
      <c r="AF17" s="9" t="s">
        <v>447</v>
      </c>
      <c r="AG17" s="9" t="s">
        <v>80</v>
      </c>
      <c r="AH17" s="9" t="s">
        <v>448</v>
      </c>
      <c r="AI17" s="24" t="s">
        <v>116</v>
      </c>
      <c r="AJ17" s="9" t="s">
        <v>83</v>
      </c>
      <c r="AK17" s="9" t="s">
        <v>117</v>
      </c>
      <c r="AL17" s="9" t="s">
        <v>449</v>
      </c>
      <c r="AM17" s="9" t="s">
        <v>450</v>
      </c>
      <c r="AN17" s="9" t="s">
        <v>451</v>
      </c>
      <c r="AO17" s="9" t="s">
        <v>452</v>
      </c>
      <c r="AP17" s="9" t="s">
        <v>452</v>
      </c>
      <c r="AQ17" s="9" t="s">
        <v>453</v>
      </c>
      <c r="AR17" s="9" t="s">
        <v>454</v>
      </c>
      <c r="AS17" s="9" t="s">
        <v>455</v>
      </c>
      <c r="AT17" s="18">
        <v>0.33800000000000002</v>
      </c>
      <c r="AU17" s="18">
        <v>0.33800000000000002</v>
      </c>
      <c r="AV17" s="9" t="s">
        <v>456</v>
      </c>
      <c r="AW17" s="9">
        <v>530</v>
      </c>
      <c r="AX17" s="9">
        <v>5</v>
      </c>
      <c r="AY17" s="18">
        <v>0.45529999999999998</v>
      </c>
      <c r="AZ17" s="18">
        <v>0.45529999999999998</v>
      </c>
      <c r="BA17" s="9" t="s">
        <v>457</v>
      </c>
      <c r="BB17" s="9">
        <v>31</v>
      </c>
      <c r="BC17" s="18" t="s">
        <v>458</v>
      </c>
      <c r="BD17" s="9" t="s">
        <v>459</v>
      </c>
      <c r="BE17" s="11" t="s">
        <v>436</v>
      </c>
      <c r="BF17" s="19">
        <v>1.01</v>
      </c>
      <c r="BG17" s="9" t="s">
        <v>98</v>
      </c>
      <c r="BH17" s="9" t="s">
        <v>460</v>
      </c>
      <c r="BI17" s="9">
        <v>1554.48</v>
      </c>
      <c r="BJ17" s="9" t="s">
        <v>100</v>
      </c>
      <c r="BK17" s="9" t="s">
        <v>461</v>
      </c>
      <c r="BL17" s="9" t="s">
        <v>102</v>
      </c>
      <c r="BM17" s="9" t="s">
        <v>102</v>
      </c>
      <c r="BN17" s="9" t="s">
        <v>462</v>
      </c>
      <c r="BO17" s="9" t="s">
        <v>275</v>
      </c>
      <c r="BP17" s="9" t="s">
        <v>102</v>
      </c>
      <c r="BQ17" s="9" t="s">
        <v>134</v>
      </c>
    </row>
    <row r="18" spans="1:69">
      <c r="A18" s="10">
        <v>302</v>
      </c>
      <c r="B18" s="11" t="s">
        <v>439</v>
      </c>
      <c r="C18" s="9" t="s">
        <v>463</v>
      </c>
      <c r="D18" s="12" t="str">
        <f t="shared" si="0"/>
        <v>302 欣時代</v>
      </c>
      <c r="E18" s="12" t="s">
        <v>464</v>
      </c>
      <c r="F18" s="13" t="s">
        <v>465</v>
      </c>
      <c r="G18" s="14"/>
      <c r="H18" s="13" t="s">
        <v>466</v>
      </c>
      <c r="I18" s="14">
        <v>28.96</v>
      </c>
      <c r="J18" s="14">
        <v>19.2</v>
      </c>
      <c r="K18" s="9" t="s">
        <v>394</v>
      </c>
      <c r="L18" s="15">
        <v>27</v>
      </c>
      <c r="M18" s="15">
        <v>29</v>
      </c>
      <c r="N18" s="15">
        <f t="shared" si="5"/>
        <v>28</v>
      </c>
      <c r="O18" s="15">
        <f t="shared" si="6"/>
        <v>1</v>
      </c>
      <c r="P18" s="9" t="s">
        <v>394</v>
      </c>
      <c r="Q18" s="15">
        <v>27</v>
      </c>
      <c r="R18" s="15">
        <v>29</v>
      </c>
      <c r="S18" s="15">
        <f t="shared" si="7"/>
        <v>2</v>
      </c>
      <c r="T18" s="15">
        <f t="shared" si="4"/>
        <v>28</v>
      </c>
      <c r="U18" s="15" t="s">
        <v>138</v>
      </c>
      <c r="Y18" s="9" t="s">
        <v>282</v>
      </c>
      <c r="Z18" s="16">
        <v>170</v>
      </c>
      <c r="AA18" s="16">
        <v>205</v>
      </c>
      <c r="AB18" s="9" t="s">
        <v>112</v>
      </c>
      <c r="AC18" s="9" t="s">
        <v>77</v>
      </c>
      <c r="AD18" s="9" t="s">
        <v>467</v>
      </c>
      <c r="AE18" s="10">
        <v>2023</v>
      </c>
      <c r="AF18" s="9" t="s">
        <v>468</v>
      </c>
      <c r="AG18" s="9" t="s">
        <v>80</v>
      </c>
      <c r="AH18" s="9" t="s">
        <v>469</v>
      </c>
      <c r="AI18" s="9" t="s">
        <v>116</v>
      </c>
      <c r="AJ18" s="9" t="s">
        <v>83</v>
      </c>
      <c r="AK18" s="9" t="s">
        <v>117</v>
      </c>
      <c r="AL18" s="9" t="s">
        <v>470</v>
      </c>
      <c r="AM18" s="9" t="s">
        <v>471</v>
      </c>
      <c r="AN18" s="9" t="s">
        <v>472</v>
      </c>
      <c r="AO18" s="12" t="s">
        <v>473</v>
      </c>
      <c r="AP18" s="12" t="s">
        <v>473</v>
      </c>
      <c r="AQ18" s="9" t="s">
        <v>474</v>
      </c>
      <c r="AR18" s="9" t="s">
        <v>475</v>
      </c>
      <c r="AS18" s="9" t="s">
        <v>476</v>
      </c>
      <c r="AT18" s="9" t="s">
        <v>293</v>
      </c>
      <c r="AU18" s="18">
        <v>0.33500000000000002</v>
      </c>
      <c r="AV18" s="9" t="s">
        <v>477</v>
      </c>
      <c r="AW18" s="9">
        <v>235</v>
      </c>
      <c r="AX18" s="9">
        <v>4</v>
      </c>
      <c r="AY18" s="9" t="s">
        <v>478</v>
      </c>
      <c r="AZ18" s="18">
        <v>0.57489999999999997</v>
      </c>
      <c r="BA18" s="9" t="s">
        <v>479</v>
      </c>
      <c r="BB18" s="9">
        <v>30</v>
      </c>
      <c r="BC18" s="9" t="s">
        <v>480</v>
      </c>
      <c r="BD18" s="9" t="s">
        <v>96</v>
      </c>
      <c r="BE18" s="11" t="s">
        <v>481</v>
      </c>
      <c r="BF18" s="19">
        <v>0.91</v>
      </c>
      <c r="BG18" s="9" t="s">
        <v>98</v>
      </c>
      <c r="BH18" s="9" t="s">
        <v>482</v>
      </c>
      <c r="BI18" s="9">
        <v>713.17</v>
      </c>
      <c r="BJ18" s="9" t="s">
        <v>100</v>
      </c>
      <c r="BK18" s="9" t="s">
        <v>414</v>
      </c>
      <c r="BL18" s="9" t="s">
        <v>102</v>
      </c>
      <c r="BM18" s="9" t="s">
        <v>102</v>
      </c>
      <c r="BN18" s="9" t="s">
        <v>483</v>
      </c>
      <c r="BO18" s="9" t="s">
        <v>484</v>
      </c>
      <c r="BP18" s="9" t="s">
        <v>102</v>
      </c>
      <c r="BQ18" s="9" t="s">
        <v>134</v>
      </c>
    </row>
    <row r="19" spans="1:69">
      <c r="A19" s="10">
        <v>303</v>
      </c>
      <c r="B19" s="11" t="s">
        <v>439</v>
      </c>
      <c r="C19" s="9" t="s">
        <v>485</v>
      </c>
      <c r="D19" s="12" t="str">
        <f t="shared" si="0"/>
        <v>303 新潤翡麗</v>
      </c>
      <c r="E19" s="12" t="s">
        <v>486</v>
      </c>
      <c r="F19" s="13" t="s">
        <v>487</v>
      </c>
      <c r="G19" s="14">
        <v>26.84</v>
      </c>
      <c r="H19" s="13" t="s">
        <v>488</v>
      </c>
      <c r="I19" s="14">
        <v>34.33</v>
      </c>
      <c r="J19" s="14">
        <v>17.09</v>
      </c>
      <c r="K19" s="9" t="s">
        <v>209</v>
      </c>
      <c r="L19" s="15">
        <v>26</v>
      </c>
      <c r="M19" s="15">
        <v>28</v>
      </c>
      <c r="N19" s="15">
        <f t="shared" si="5"/>
        <v>27</v>
      </c>
      <c r="O19" s="15">
        <f t="shared" si="6"/>
        <v>1</v>
      </c>
      <c r="P19" s="9" t="s">
        <v>489</v>
      </c>
      <c r="Q19" s="15">
        <v>33</v>
      </c>
      <c r="R19" s="15">
        <v>36</v>
      </c>
      <c r="S19" s="15">
        <f t="shared" si="7"/>
        <v>3</v>
      </c>
      <c r="T19" s="15">
        <f t="shared" si="4"/>
        <v>34.5</v>
      </c>
      <c r="Y19" s="9" t="s">
        <v>490</v>
      </c>
      <c r="Z19" s="16">
        <v>160</v>
      </c>
      <c r="AA19" s="16">
        <v>190</v>
      </c>
      <c r="AB19" s="9" t="s">
        <v>112</v>
      </c>
      <c r="AC19" s="9" t="s">
        <v>77</v>
      </c>
      <c r="AD19" s="9" t="s">
        <v>211</v>
      </c>
      <c r="AE19" s="10">
        <v>2021</v>
      </c>
      <c r="AF19" s="9" t="s">
        <v>212</v>
      </c>
      <c r="AG19" s="9" t="s">
        <v>80</v>
      </c>
      <c r="AH19" s="9" t="s">
        <v>491</v>
      </c>
      <c r="AI19" s="9" t="s">
        <v>116</v>
      </c>
      <c r="AJ19" s="9" t="s">
        <v>83</v>
      </c>
      <c r="AK19" s="9" t="s">
        <v>117</v>
      </c>
      <c r="AL19" s="9" t="s">
        <v>492</v>
      </c>
      <c r="AM19" s="9" t="s">
        <v>493</v>
      </c>
      <c r="AN19" s="9" t="s">
        <v>494</v>
      </c>
      <c r="AO19" s="9" t="s">
        <v>495</v>
      </c>
      <c r="AP19" s="9" t="s">
        <v>495</v>
      </c>
      <c r="AQ19" s="9" t="s">
        <v>496</v>
      </c>
      <c r="AR19" s="9" t="s">
        <v>497</v>
      </c>
      <c r="AS19" s="9" t="s">
        <v>498</v>
      </c>
      <c r="AT19" s="9" t="s">
        <v>499</v>
      </c>
      <c r="AU19" s="18">
        <v>0.33750000000000002</v>
      </c>
      <c r="AV19" s="9" t="s">
        <v>500</v>
      </c>
      <c r="AW19" s="9">
        <v>420</v>
      </c>
      <c r="AX19" s="9">
        <v>20</v>
      </c>
      <c r="AY19" s="9" t="s">
        <v>501</v>
      </c>
      <c r="AZ19" s="18">
        <v>0.6502</v>
      </c>
      <c r="BA19" s="9" t="s">
        <v>410</v>
      </c>
      <c r="BB19" s="9">
        <v>24</v>
      </c>
      <c r="BC19" s="9" t="s">
        <v>502</v>
      </c>
      <c r="BD19" s="9" t="s">
        <v>96</v>
      </c>
      <c r="BE19" s="11" t="s">
        <v>503</v>
      </c>
      <c r="BF19" s="19">
        <v>0.73</v>
      </c>
      <c r="BG19" s="9" t="s">
        <v>98</v>
      </c>
      <c r="BH19" s="9" t="s">
        <v>504</v>
      </c>
      <c r="BI19" s="9">
        <v>1083.97</v>
      </c>
      <c r="BJ19" s="9" t="s">
        <v>100</v>
      </c>
      <c r="BK19" s="9" t="s">
        <v>414</v>
      </c>
      <c r="BL19" s="9" t="s">
        <v>102</v>
      </c>
      <c r="BM19" s="9" t="s">
        <v>102</v>
      </c>
      <c r="BN19" s="9" t="s">
        <v>505</v>
      </c>
      <c r="BO19" s="9" t="s">
        <v>506</v>
      </c>
      <c r="BP19" s="9" t="s">
        <v>102</v>
      </c>
      <c r="BQ19" s="9" t="s">
        <v>134</v>
      </c>
    </row>
    <row r="20" spans="1:69">
      <c r="A20" s="10">
        <v>304</v>
      </c>
      <c r="B20" s="11" t="s">
        <v>439</v>
      </c>
      <c r="C20" s="12" t="s">
        <v>507</v>
      </c>
      <c r="D20" s="12" t="str">
        <f t="shared" si="0"/>
        <v>304 新潤鉑麗</v>
      </c>
      <c r="E20" s="12" t="s">
        <v>508</v>
      </c>
      <c r="F20" s="20" t="s">
        <v>509</v>
      </c>
      <c r="G20" s="21">
        <v>26.4</v>
      </c>
      <c r="H20" s="22">
        <v>24.52</v>
      </c>
      <c r="I20" s="21">
        <v>29.11</v>
      </c>
      <c r="J20" s="21">
        <v>22.34</v>
      </c>
      <c r="K20" s="9" t="s">
        <v>510</v>
      </c>
      <c r="L20" s="15">
        <v>27</v>
      </c>
      <c r="M20" s="15">
        <v>29</v>
      </c>
      <c r="N20" s="15">
        <f t="shared" si="5"/>
        <v>28</v>
      </c>
      <c r="O20" s="15">
        <f t="shared" si="6"/>
        <v>1</v>
      </c>
      <c r="P20" s="9" t="s">
        <v>510</v>
      </c>
      <c r="Q20" s="15">
        <v>27</v>
      </c>
      <c r="R20" s="15">
        <v>29</v>
      </c>
      <c r="S20" s="15">
        <f t="shared" si="7"/>
        <v>2</v>
      </c>
      <c r="T20" s="15">
        <f t="shared" si="4"/>
        <v>28</v>
      </c>
      <c r="U20" s="15" t="s">
        <v>138</v>
      </c>
      <c r="V20" s="9" t="s">
        <v>511</v>
      </c>
      <c r="W20" s="20" t="s">
        <v>512</v>
      </c>
      <c r="Y20" s="9" t="s">
        <v>513</v>
      </c>
      <c r="Z20" s="16">
        <v>165</v>
      </c>
      <c r="AA20" s="16">
        <v>190</v>
      </c>
      <c r="AB20" s="9" t="s">
        <v>112</v>
      </c>
      <c r="AC20" s="9" t="s">
        <v>77</v>
      </c>
      <c r="AD20" s="9" t="s">
        <v>166</v>
      </c>
      <c r="AE20" s="10">
        <v>2020</v>
      </c>
      <c r="AF20" s="9" t="s">
        <v>167</v>
      </c>
      <c r="AG20" s="9" t="s">
        <v>80</v>
      </c>
      <c r="AH20" s="9" t="s">
        <v>514</v>
      </c>
      <c r="AI20" s="9" t="s">
        <v>146</v>
      </c>
      <c r="AJ20" s="9" t="s">
        <v>83</v>
      </c>
      <c r="AK20" s="9" t="s">
        <v>117</v>
      </c>
      <c r="AL20" s="9" t="s">
        <v>515</v>
      </c>
      <c r="AM20" s="9" t="s">
        <v>515</v>
      </c>
      <c r="AN20" s="9" t="s">
        <v>516</v>
      </c>
      <c r="AO20" s="9" t="s">
        <v>517</v>
      </c>
      <c r="AP20" s="9" t="s">
        <v>495</v>
      </c>
      <c r="AQ20" s="9" t="s">
        <v>518</v>
      </c>
      <c r="AR20" s="9" t="s">
        <v>519</v>
      </c>
      <c r="AS20" s="9" t="s">
        <v>520</v>
      </c>
      <c r="AT20" s="18">
        <v>0.33500000000000002</v>
      </c>
      <c r="AU20" s="18">
        <v>0.33500000000000002</v>
      </c>
      <c r="AV20" s="9" t="s">
        <v>521</v>
      </c>
      <c r="AW20" s="9">
        <v>266</v>
      </c>
      <c r="AX20" s="9">
        <v>13</v>
      </c>
      <c r="AY20" s="18">
        <v>0.59850000000000003</v>
      </c>
      <c r="AZ20" s="18">
        <v>0.59850000000000003</v>
      </c>
      <c r="BA20" s="9" t="s">
        <v>94</v>
      </c>
      <c r="BB20" s="9">
        <v>15</v>
      </c>
      <c r="BC20" s="18" t="s">
        <v>522</v>
      </c>
      <c r="BD20" s="9" t="s">
        <v>459</v>
      </c>
      <c r="BE20" s="11" t="s">
        <v>202</v>
      </c>
      <c r="BF20" s="19">
        <v>0.87</v>
      </c>
      <c r="BG20" s="9" t="s">
        <v>98</v>
      </c>
      <c r="BH20" s="9" t="s">
        <v>523</v>
      </c>
      <c r="BI20" s="9">
        <v>1137.47</v>
      </c>
      <c r="BJ20" s="9" t="s">
        <v>100</v>
      </c>
      <c r="BK20" s="9" t="s">
        <v>524</v>
      </c>
      <c r="BL20" s="9" t="s">
        <v>102</v>
      </c>
      <c r="BM20" s="9" t="s">
        <v>102</v>
      </c>
      <c r="BN20" s="9" t="s">
        <v>525</v>
      </c>
      <c r="BO20" s="9" t="s">
        <v>526</v>
      </c>
      <c r="BP20" s="9" t="s">
        <v>527</v>
      </c>
      <c r="BQ20" s="9" t="s">
        <v>134</v>
      </c>
    </row>
    <row r="21" spans="1:69">
      <c r="A21" s="10">
        <v>305</v>
      </c>
      <c r="B21" s="11" t="s">
        <v>439</v>
      </c>
      <c r="C21" s="9" t="s">
        <v>528</v>
      </c>
      <c r="D21" s="12" t="str">
        <f t="shared" si="0"/>
        <v>305 根津苑</v>
      </c>
      <c r="E21" s="12" t="s">
        <v>529</v>
      </c>
      <c r="F21" s="13" t="s">
        <v>530</v>
      </c>
      <c r="G21" s="14">
        <v>23.36</v>
      </c>
      <c r="H21" s="13">
        <v>21.94</v>
      </c>
      <c r="I21" s="14">
        <v>28.07</v>
      </c>
      <c r="J21" s="14">
        <v>19.899999999999999</v>
      </c>
      <c r="K21" s="9" t="s">
        <v>531</v>
      </c>
      <c r="L21" s="15">
        <v>24</v>
      </c>
      <c r="M21" s="15">
        <v>26</v>
      </c>
      <c r="N21" s="15">
        <f t="shared" si="5"/>
        <v>25</v>
      </c>
      <c r="O21" s="15">
        <f t="shared" si="6"/>
        <v>1</v>
      </c>
      <c r="P21" s="9" t="s">
        <v>532</v>
      </c>
      <c r="Q21" s="15">
        <v>26</v>
      </c>
      <c r="R21" s="15">
        <v>28</v>
      </c>
      <c r="S21" s="15">
        <f t="shared" si="7"/>
        <v>2</v>
      </c>
      <c r="T21" s="15">
        <f t="shared" si="4"/>
        <v>27</v>
      </c>
      <c r="V21" s="9" t="s">
        <v>533</v>
      </c>
      <c r="W21" s="20" t="s">
        <v>534</v>
      </c>
      <c r="Y21" s="9" t="s">
        <v>490</v>
      </c>
      <c r="Z21" s="16">
        <v>160</v>
      </c>
      <c r="AA21" s="16">
        <v>190</v>
      </c>
      <c r="AB21" s="9" t="s">
        <v>112</v>
      </c>
      <c r="AC21" s="9" t="s">
        <v>77</v>
      </c>
      <c r="AD21" s="9" t="s">
        <v>143</v>
      </c>
      <c r="AE21" s="10">
        <v>2020</v>
      </c>
      <c r="AF21" s="9" t="s">
        <v>167</v>
      </c>
      <c r="AG21" s="9" t="s">
        <v>80</v>
      </c>
      <c r="AH21" s="9" t="s">
        <v>535</v>
      </c>
      <c r="AI21" s="9" t="s">
        <v>146</v>
      </c>
      <c r="AJ21" s="9" t="s">
        <v>83</v>
      </c>
      <c r="AK21" s="9" t="s">
        <v>117</v>
      </c>
      <c r="AL21" s="9" t="s">
        <v>536</v>
      </c>
      <c r="AM21" s="9" t="s">
        <v>537</v>
      </c>
      <c r="AN21" s="9" t="s">
        <v>538</v>
      </c>
      <c r="AO21" s="9" t="s">
        <v>539</v>
      </c>
      <c r="AP21" s="9" t="s">
        <v>89</v>
      </c>
      <c r="AQ21" s="9" t="s">
        <v>121</v>
      </c>
      <c r="AR21" s="9" t="s">
        <v>540</v>
      </c>
      <c r="AS21" s="9" t="s">
        <v>150</v>
      </c>
      <c r="AT21" s="9" t="s">
        <v>124</v>
      </c>
      <c r="AU21" s="18">
        <v>0.32</v>
      </c>
      <c r="AV21" s="9" t="s">
        <v>541</v>
      </c>
      <c r="AW21" s="9">
        <v>225</v>
      </c>
      <c r="AX21" s="9">
        <v>3</v>
      </c>
      <c r="AY21" s="9" t="s">
        <v>542</v>
      </c>
      <c r="AZ21" s="18">
        <v>0.50539999999999996</v>
      </c>
      <c r="BA21" s="9" t="s">
        <v>246</v>
      </c>
      <c r="BB21" s="9">
        <v>15</v>
      </c>
      <c r="BC21" s="9" t="s">
        <v>543</v>
      </c>
      <c r="BD21" s="9" t="s">
        <v>96</v>
      </c>
      <c r="BE21" s="11" t="s">
        <v>155</v>
      </c>
      <c r="BF21" s="19">
        <v>1</v>
      </c>
      <c r="BG21" s="9" t="s">
        <v>98</v>
      </c>
      <c r="BH21" s="9" t="s">
        <v>156</v>
      </c>
      <c r="BI21" s="9">
        <v>1848.44</v>
      </c>
      <c r="BJ21" s="9" t="s">
        <v>100</v>
      </c>
      <c r="BK21" s="9" t="s">
        <v>524</v>
      </c>
      <c r="BL21" s="9" t="s">
        <v>102</v>
      </c>
      <c r="BM21" s="9" t="s">
        <v>102</v>
      </c>
      <c r="BN21" s="9" t="s">
        <v>544</v>
      </c>
      <c r="BO21" s="9" t="s">
        <v>133</v>
      </c>
      <c r="BP21" s="9" t="s">
        <v>102</v>
      </c>
      <c r="BQ21" s="9" t="s">
        <v>134</v>
      </c>
    </row>
    <row r="22" spans="1:69">
      <c r="A22" s="10">
        <v>306</v>
      </c>
      <c r="B22" s="11" t="s">
        <v>439</v>
      </c>
      <c r="C22" s="12" t="s">
        <v>545</v>
      </c>
      <c r="D22" s="12" t="str">
        <f t="shared" si="0"/>
        <v>306 華悅城</v>
      </c>
      <c r="E22" s="12" t="s">
        <v>546</v>
      </c>
      <c r="F22" s="20" t="s">
        <v>547</v>
      </c>
      <c r="G22" s="21"/>
      <c r="H22" s="22">
        <v>25.61</v>
      </c>
      <c r="I22" s="21">
        <v>29.69</v>
      </c>
      <c r="J22" s="21">
        <v>22.7</v>
      </c>
      <c r="K22" s="9" t="s">
        <v>548</v>
      </c>
      <c r="L22" s="15">
        <v>26</v>
      </c>
      <c r="M22" s="15">
        <v>30</v>
      </c>
      <c r="N22" s="15">
        <f t="shared" si="5"/>
        <v>28</v>
      </c>
      <c r="O22" s="15">
        <f t="shared" si="6"/>
        <v>2</v>
      </c>
      <c r="P22" s="9" t="s">
        <v>548</v>
      </c>
      <c r="Q22" s="15">
        <v>26</v>
      </c>
      <c r="R22" s="15">
        <v>30</v>
      </c>
      <c r="S22" s="15">
        <f t="shared" si="7"/>
        <v>4</v>
      </c>
      <c r="T22" s="15">
        <f t="shared" si="4"/>
        <v>28</v>
      </c>
      <c r="Y22" s="9" t="s">
        <v>549</v>
      </c>
      <c r="Z22" s="16">
        <v>150</v>
      </c>
      <c r="AA22" s="16">
        <v>195</v>
      </c>
      <c r="AB22" s="9" t="s">
        <v>112</v>
      </c>
      <c r="AC22" s="9" t="s">
        <v>77</v>
      </c>
      <c r="AD22" s="9" t="s">
        <v>550</v>
      </c>
      <c r="AE22" s="10">
        <v>2022</v>
      </c>
      <c r="AF22" s="9" t="s">
        <v>79</v>
      </c>
      <c r="AG22" s="9" t="s">
        <v>80</v>
      </c>
      <c r="AH22" s="9" t="s">
        <v>551</v>
      </c>
      <c r="AI22" s="24" t="s">
        <v>116</v>
      </c>
      <c r="AJ22" s="9" t="s">
        <v>83</v>
      </c>
      <c r="AK22" s="9" t="s">
        <v>117</v>
      </c>
      <c r="AL22" s="9" t="s">
        <v>552</v>
      </c>
      <c r="AM22" s="9" t="s">
        <v>356</v>
      </c>
      <c r="AN22" s="9" t="s">
        <v>553</v>
      </c>
      <c r="AO22" s="9" t="s">
        <v>554</v>
      </c>
      <c r="AP22" s="9" t="s">
        <v>554</v>
      </c>
      <c r="AQ22" s="9" t="s">
        <v>555</v>
      </c>
      <c r="AR22" s="9" t="s">
        <v>556</v>
      </c>
      <c r="AS22" s="9" t="s">
        <v>557</v>
      </c>
      <c r="AT22" s="17">
        <v>0.34</v>
      </c>
      <c r="AU22" s="18">
        <v>0.34</v>
      </c>
      <c r="AV22" s="9" t="s">
        <v>558</v>
      </c>
      <c r="AW22" s="9">
        <v>776</v>
      </c>
      <c r="AX22" s="9">
        <v>8</v>
      </c>
      <c r="AY22" s="18">
        <v>0.44359999999999999</v>
      </c>
      <c r="AZ22" s="18">
        <v>0.44359999999999999</v>
      </c>
      <c r="BA22" s="9" t="s">
        <v>559</v>
      </c>
      <c r="BB22" s="9">
        <v>18</v>
      </c>
      <c r="BC22" s="9" t="s">
        <v>560</v>
      </c>
      <c r="BD22" s="9" t="s">
        <v>96</v>
      </c>
      <c r="BE22" s="11" t="s">
        <v>561</v>
      </c>
      <c r="BF22" s="19">
        <v>0.9</v>
      </c>
      <c r="BG22" s="9" t="s">
        <v>98</v>
      </c>
      <c r="BH22" s="9" t="s">
        <v>562</v>
      </c>
      <c r="BI22" s="9">
        <v>2751.33</v>
      </c>
      <c r="BJ22" s="9" t="s">
        <v>100</v>
      </c>
      <c r="BK22" s="9" t="s">
        <v>367</v>
      </c>
      <c r="BL22" s="9" t="s">
        <v>102</v>
      </c>
      <c r="BM22" s="9" t="s">
        <v>102</v>
      </c>
      <c r="BN22" s="9" t="s">
        <v>563</v>
      </c>
      <c r="BO22" s="9" t="s">
        <v>564</v>
      </c>
      <c r="BP22" s="9" t="s">
        <v>102</v>
      </c>
      <c r="BQ22" s="9" t="s">
        <v>134</v>
      </c>
    </row>
    <row r="23" spans="1:69">
      <c r="A23" s="10">
        <v>307</v>
      </c>
      <c r="B23" s="11" t="s">
        <v>439</v>
      </c>
      <c r="C23" s="9" t="s">
        <v>565</v>
      </c>
      <c r="D23" s="12" t="str">
        <f t="shared" si="0"/>
        <v>307 富宇悅峰</v>
      </c>
      <c r="E23" s="12" t="s">
        <v>566</v>
      </c>
      <c r="F23" s="13" t="s">
        <v>567</v>
      </c>
      <c r="G23" s="14">
        <v>24.96</v>
      </c>
      <c r="H23" s="13">
        <v>25.01</v>
      </c>
      <c r="I23" s="14">
        <v>27.55</v>
      </c>
      <c r="J23" s="14">
        <v>23.49</v>
      </c>
      <c r="K23" s="9" t="s">
        <v>568</v>
      </c>
      <c r="L23" s="15">
        <v>28</v>
      </c>
      <c r="M23" s="15">
        <v>32</v>
      </c>
      <c r="N23" s="15">
        <f t="shared" si="5"/>
        <v>30</v>
      </c>
      <c r="O23" s="15">
        <f t="shared" si="6"/>
        <v>2</v>
      </c>
      <c r="P23" s="9" t="s">
        <v>75</v>
      </c>
      <c r="Q23" s="15">
        <v>34</v>
      </c>
      <c r="R23" s="15">
        <v>36</v>
      </c>
      <c r="S23" s="15">
        <f t="shared" si="7"/>
        <v>2</v>
      </c>
      <c r="T23" s="15">
        <f t="shared" si="4"/>
        <v>35</v>
      </c>
      <c r="Y23" s="9" t="s">
        <v>569</v>
      </c>
      <c r="Z23" s="16">
        <v>175</v>
      </c>
      <c r="AA23" s="16">
        <v>195</v>
      </c>
      <c r="AB23" s="9" t="s">
        <v>112</v>
      </c>
      <c r="AC23" s="9" t="s">
        <v>77</v>
      </c>
      <c r="AD23" s="9" t="s">
        <v>113</v>
      </c>
      <c r="AE23" s="10">
        <v>2022</v>
      </c>
      <c r="AF23" s="9" t="s">
        <v>114</v>
      </c>
      <c r="AG23" s="9" t="s">
        <v>80</v>
      </c>
      <c r="AH23" s="9" t="s">
        <v>570</v>
      </c>
      <c r="AI23" s="9" t="s">
        <v>116</v>
      </c>
      <c r="AJ23" s="9" t="s">
        <v>83</v>
      </c>
      <c r="AK23" s="9" t="s">
        <v>571</v>
      </c>
      <c r="AL23" s="9" t="s">
        <v>572</v>
      </c>
      <c r="AM23" s="9" t="s">
        <v>573</v>
      </c>
      <c r="AN23" s="9" t="s">
        <v>288</v>
      </c>
      <c r="AO23" s="9" t="s">
        <v>289</v>
      </c>
      <c r="AP23" s="9" t="s">
        <v>289</v>
      </c>
      <c r="AQ23" s="9" t="s">
        <v>290</v>
      </c>
      <c r="AR23" s="9" t="s">
        <v>574</v>
      </c>
      <c r="AS23" s="9" t="s">
        <v>339</v>
      </c>
      <c r="AT23" s="9" t="s">
        <v>575</v>
      </c>
      <c r="AU23" s="18">
        <v>0.36799999999999999</v>
      </c>
      <c r="AV23" s="9" t="s">
        <v>576</v>
      </c>
      <c r="AW23" s="9">
        <v>264</v>
      </c>
      <c r="AX23" s="9">
        <v>0</v>
      </c>
      <c r="AY23" s="9" t="s">
        <v>577</v>
      </c>
      <c r="AZ23" s="18">
        <v>0.40210000000000001</v>
      </c>
      <c r="BA23" s="9" t="s">
        <v>578</v>
      </c>
      <c r="BB23" s="9">
        <v>14</v>
      </c>
      <c r="BC23" s="9" t="s">
        <v>579</v>
      </c>
      <c r="BD23" s="9" t="s">
        <v>580</v>
      </c>
      <c r="BE23" s="11" t="s">
        <v>581</v>
      </c>
      <c r="BF23" s="19">
        <v>0.86</v>
      </c>
      <c r="BG23" s="9" t="s">
        <v>98</v>
      </c>
      <c r="BH23" s="9" t="s">
        <v>582</v>
      </c>
      <c r="BI23" s="9">
        <v>1266.01</v>
      </c>
      <c r="BJ23" s="9" t="s">
        <v>100</v>
      </c>
      <c r="BK23" s="9" t="s">
        <v>524</v>
      </c>
      <c r="BL23" s="9" t="s">
        <v>102</v>
      </c>
      <c r="BM23" s="9" t="s">
        <v>102</v>
      </c>
      <c r="BN23" s="9" t="s">
        <v>583</v>
      </c>
      <c r="BO23" s="9" t="s">
        <v>584</v>
      </c>
      <c r="BP23" s="9" t="s">
        <v>102</v>
      </c>
      <c r="BQ23" s="9" t="s">
        <v>585</v>
      </c>
    </row>
    <row r="24" spans="1:69">
      <c r="A24" s="10">
        <v>308</v>
      </c>
      <c r="B24" s="11" t="s">
        <v>439</v>
      </c>
      <c r="C24" s="9" t="s">
        <v>586</v>
      </c>
      <c r="D24" s="12" t="str">
        <f t="shared" si="0"/>
        <v>308 合遠新天地</v>
      </c>
      <c r="E24" s="9" t="s">
        <v>587</v>
      </c>
      <c r="H24" s="13">
        <v>21.94</v>
      </c>
      <c r="I24" s="19">
        <v>25.21</v>
      </c>
      <c r="J24" s="19">
        <v>19.66</v>
      </c>
      <c r="K24" s="9" t="s">
        <v>531</v>
      </c>
      <c r="L24" s="15">
        <v>24</v>
      </c>
      <c r="M24" s="15">
        <v>26</v>
      </c>
      <c r="N24" s="15">
        <f t="shared" si="5"/>
        <v>25</v>
      </c>
      <c r="O24" s="15">
        <f t="shared" si="6"/>
        <v>1</v>
      </c>
      <c r="P24" s="9" t="s">
        <v>531</v>
      </c>
      <c r="Q24" s="15">
        <v>24</v>
      </c>
      <c r="R24" s="15">
        <v>26</v>
      </c>
      <c r="S24" s="15">
        <f t="shared" si="7"/>
        <v>2</v>
      </c>
      <c r="T24" s="15">
        <f t="shared" si="4"/>
        <v>25</v>
      </c>
      <c r="U24" s="15" t="s">
        <v>138</v>
      </c>
      <c r="Y24" s="9" t="s">
        <v>588</v>
      </c>
      <c r="Z24" s="16">
        <v>165</v>
      </c>
      <c r="AA24" s="16">
        <v>185</v>
      </c>
      <c r="AB24" s="9" t="s">
        <v>112</v>
      </c>
      <c r="AC24" s="9" t="s">
        <v>589</v>
      </c>
      <c r="AD24" s="9" t="s">
        <v>143</v>
      </c>
      <c r="AE24" s="10">
        <v>2019</v>
      </c>
      <c r="AF24" s="9" t="s">
        <v>590</v>
      </c>
      <c r="AG24" s="9" t="s">
        <v>80</v>
      </c>
      <c r="AH24" s="9" t="s">
        <v>591</v>
      </c>
      <c r="AI24" s="9" t="s">
        <v>146</v>
      </c>
      <c r="AJ24" s="9" t="s">
        <v>83</v>
      </c>
      <c r="AK24" s="9" t="s">
        <v>117</v>
      </c>
      <c r="AL24" s="9" t="s">
        <v>592</v>
      </c>
      <c r="AM24" s="9" t="s">
        <v>592</v>
      </c>
      <c r="AN24" s="9" t="s">
        <v>593</v>
      </c>
      <c r="AO24" s="9" t="s">
        <v>594</v>
      </c>
      <c r="AP24" s="9" t="s">
        <v>89</v>
      </c>
      <c r="AQ24" s="9" t="s">
        <v>121</v>
      </c>
      <c r="AR24" s="9" t="s">
        <v>595</v>
      </c>
      <c r="AS24" s="9" t="s">
        <v>173</v>
      </c>
      <c r="AT24" s="9" t="s">
        <v>221</v>
      </c>
      <c r="AU24" s="18">
        <v>0.315</v>
      </c>
      <c r="AV24" s="9" t="s">
        <v>596</v>
      </c>
      <c r="AW24" s="9">
        <v>112</v>
      </c>
      <c r="AX24" s="9">
        <v>4</v>
      </c>
      <c r="AY24" s="9" t="s">
        <v>597</v>
      </c>
      <c r="AZ24" s="18">
        <v>0.3397</v>
      </c>
      <c r="BA24" s="9" t="s">
        <v>246</v>
      </c>
      <c r="BB24" s="9">
        <v>15</v>
      </c>
      <c r="BC24" s="9" t="s">
        <v>598</v>
      </c>
      <c r="BD24" s="9" t="s">
        <v>96</v>
      </c>
      <c r="BE24" s="11" t="s">
        <v>325</v>
      </c>
      <c r="BF24" s="19">
        <v>1.02</v>
      </c>
      <c r="BG24" s="9" t="s">
        <v>98</v>
      </c>
      <c r="BH24" s="9" t="s">
        <v>599</v>
      </c>
      <c r="BI24" s="9">
        <v>642.91999999999996</v>
      </c>
      <c r="BJ24" s="9" t="s">
        <v>100</v>
      </c>
      <c r="BK24" s="9" t="s">
        <v>524</v>
      </c>
      <c r="BL24" s="9" t="s">
        <v>102</v>
      </c>
      <c r="BM24" s="9" t="s">
        <v>102</v>
      </c>
      <c r="BN24" s="9" t="s">
        <v>600</v>
      </c>
      <c r="BO24" s="9" t="s">
        <v>601</v>
      </c>
      <c r="BP24" s="9" t="s">
        <v>102</v>
      </c>
      <c r="BQ24" s="9" t="s">
        <v>585</v>
      </c>
    </row>
    <row r="25" spans="1:69">
      <c r="A25" s="10">
        <v>309</v>
      </c>
      <c r="B25" s="11" t="s">
        <v>439</v>
      </c>
      <c r="C25" s="9" t="s">
        <v>602</v>
      </c>
      <c r="D25" s="12" t="str">
        <f t="shared" si="0"/>
        <v>309 友文化</v>
      </c>
      <c r="E25" s="12" t="s">
        <v>603</v>
      </c>
      <c r="F25" s="20" t="s">
        <v>604</v>
      </c>
      <c r="G25" s="21">
        <v>23.59</v>
      </c>
      <c r="H25" s="22">
        <v>22.72</v>
      </c>
      <c r="I25" s="21">
        <v>30.38</v>
      </c>
      <c r="J25" s="21">
        <v>20</v>
      </c>
      <c r="K25" s="9" t="s">
        <v>605</v>
      </c>
      <c r="L25" s="15">
        <v>30</v>
      </c>
      <c r="M25" s="15">
        <v>31</v>
      </c>
      <c r="N25" s="15">
        <f t="shared" si="5"/>
        <v>30.5</v>
      </c>
      <c r="O25" s="15">
        <f t="shared" si="6"/>
        <v>0.5</v>
      </c>
      <c r="P25" s="9" t="s">
        <v>606</v>
      </c>
      <c r="Q25" s="15">
        <v>28</v>
      </c>
      <c r="R25" s="15">
        <v>28</v>
      </c>
      <c r="S25" s="15">
        <f t="shared" si="7"/>
        <v>0</v>
      </c>
      <c r="T25" s="15">
        <f t="shared" si="4"/>
        <v>28</v>
      </c>
      <c r="V25" s="9" t="s">
        <v>607</v>
      </c>
      <c r="W25" s="20" t="s">
        <v>608</v>
      </c>
      <c r="Y25" s="9" t="s">
        <v>609</v>
      </c>
      <c r="Z25" s="16">
        <v>195</v>
      </c>
      <c r="AA25" s="16">
        <v>215</v>
      </c>
      <c r="AB25" s="9" t="s">
        <v>112</v>
      </c>
      <c r="AC25" s="9" t="s">
        <v>77</v>
      </c>
      <c r="AD25" s="9" t="s">
        <v>189</v>
      </c>
      <c r="AE25" s="10">
        <v>2021</v>
      </c>
      <c r="AF25" s="9" t="s">
        <v>610</v>
      </c>
      <c r="AG25" s="9" t="s">
        <v>80</v>
      </c>
      <c r="AH25" s="9" t="s">
        <v>611</v>
      </c>
      <c r="AI25" s="9" t="s">
        <v>258</v>
      </c>
      <c r="AJ25" s="9" t="s">
        <v>83</v>
      </c>
      <c r="AK25" s="9" t="s">
        <v>117</v>
      </c>
      <c r="AL25" s="9" t="s">
        <v>612</v>
      </c>
      <c r="AM25" s="9" t="s">
        <v>613</v>
      </c>
      <c r="AN25" s="9" t="s">
        <v>614</v>
      </c>
      <c r="AO25" s="9" t="s">
        <v>615</v>
      </c>
      <c r="AP25" s="9" t="s">
        <v>89</v>
      </c>
      <c r="AQ25" s="9" t="s">
        <v>90</v>
      </c>
      <c r="AR25" s="9" t="s">
        <v>616</v>
      </c>
      <c r="AS25" s="9" t="s">
        <v>617</v>
      </c>
      <c r="AT25" s="17">
        <v>0.32</v>
      </c>
      <c r="AU25" s="18">
        <v>0.32</v>
      </c>
      <c r="AV25" s="9" t="s">
        <v>618</v>
      </c>
      <c r="AW25" s="9">
        <v>305</v>
      </c>
      <c r="AX25" s="9">
        <v>0</v>
      </c>
      <c r="AY25" s="18">
        <v>0.44209999999999999</v>
      </c>
      <c r="AZ25" s="18">
        <v>0.44209999999999999</v>
      </c>
      <c r="BA25" s="9" t="s">
        <v>94</v>
      </c>
      <c r="BB25" s="9">
        <v>15</v>
      </c>
      <c r="BC25" s="9" t="s">
        <v>619</v>
      </c>
      <c r="BD25" s="9" t="s">
        <v>365</v>
      </c>
      <c r="BE25" s="11" t="s">
        <v>155</v>
      </c>
      <c r="BF25" s="19">
        <v>1</v>
      </c>
      <c r="BG25" s="9" t="s">
        <v>98</v>
      </c>
      <c r="BH25" s="9" t="s">
        <v>620</v>
      </c>
      <c r="BI25" s="9">
        <v>1426.7</v>
      </c>
      <c r="BJ25" s="9" t="s">
        <v>100</v>
      </c>
      <c r="BK25" s="9" t="s">
        <v>367</v>
      </c>
      <c r="BL25" s="9" t="s">
        <v>102</v>
      </c>
      <c r="BM25" s="9" t="s">
        <v>102</v>
      </c>
      <c r="BN25" s="9" t="s">
        <v>621</v>
      </c>
      <c r="BO25" s="9" t="s">
        <v>622</v>
      </c>
      <c r="BP25" s="9" t="s">
        <v>102</v>
      </c>
      <c r="BQ25" s="9" t="s">
        <v>585</v>
      </c>
    </row>
    <row r="26" spans="1:69">
      <c r="A26" s="10">
        <v>310</v>
      </c>
      <c r="B26" s="11" t="s">
        <v>439</v>
      </c>
      <c r="C26" s="9" t="s">
        <v>623</v>
      </c>
      <c r="D26" s="12" t="str">
        <f t="shared" si="0"/>
        <v>310 水悅青青</v>
      </c>
      <c r="E26" s="12" t="s">
        <v>624</v>
      </c>
      <c r="F26" s="20" t="s">
        <v>625</v>
      </c>
      <c r="G26" s="21">
        <v>24.76</v>
      </c>
      <c r="H26" s="22" t="s">
        <v>626</v>
      </c>
      <c r="I26" s="21">
        <v>29.05</v>
      </c>
      <c r="J26" s="21">
        <v>21.81</v>
      </c>
      <c r="K26" s="9" t="s">
        <v>627</v>
      </c>
      <c r="L26" s="15">
        <v>29</v>
      </c>
      <c r="M26" s="15">
        <v>31</v>
      </c>
      <c r="N26" s="15">
        <f t="shared" si="5"/>
        <v>30</v>
      </c>
      <c r="O26" s="15">
        <f t="shared" si="6"/>
        <v>1</v>
      </c>
      <c r="P26" s="9" t="s">
        <v>628</v>
      </c>
      <c r="Q26" s="15">
        <v>34</v>
      </c>
      <c r="R26" s="15">
        <v>39</v>
      </c>
      <c r="S26" s="15">
        <f t="shared" si="7"/>
        <v>5</v>
      </c>
      <c r="T26" s="15">
        <f t="shared" si="4"/>
        <v>36.5</v>
      </c>
      <c r="Y26" s="9" t="s">
        <v>629</v>
      </c>
      <c r="Z26" s="16">
        <v>190</v>
      </c>
      <c r="AA26" s="16">
        <v>210</v>
      </c>
      <c r="AB26" s="9" t="s">
        <v>112</v>
      </c>
      <c r="AC26" s="9" t="s">
        <v>77</v>
      </c>
      <c r="AD26" s="9" t="s">
        <v>354</v>
      </c>
      <c r="AE26" s="10">
        <v>2021</v>
      </c>
      <c r="AF26" s="9" t="s">
        <v>212</v>
      </c>
      <c r="AG26" s="9" t="s">
        <v>80</v>
      </c>
      <c r="AH26" s="9" t="s">
        <v>630</v>
      </c>
      <c r="AI26" s="9" t="s">
        <v>258</v>
      </c>
      <c r="AJ26" s="9" t="s">
        <v>83</v>
      </c>
      <c r="AK26" s="9" t="s">
        <v>117</v>
      </c>
      <c r="AL26" s="9" t="s">
        <v>631</v>
      </c>
      <c r="AM26" s="9" t="s">
        <v>632</v>
      </c>
      <c r="AN26" s="9" t="s">
        <v>633</v>
      </c>
      <c r="AO26" s="9" t="s">
        <v>634</v>
      </c>
      <c r="AP26" s="9" t="s">
        <v>89</v>
      </c>
      <c r="AQ26" s="9" t="s">
        <v>90</v>
      </c>
      <c r="AR26" s="9" t="s">
        <v>635</v>
      </c>
      <c r="AS26" s="9" t="s">
        <v>636</v>
      </c>
      <c r="AT26" s="17">
        <v>0.32</v>
      </c>
      <c r="AU26" s="18">
        <v>0.32</v>
      </c>
      <c r="AV26" s="9" t="s">
        <v>637</v>
      </c>
      <c r="AW26" s="9">
        <v>204</v>
      </c>
      <c r="AX26" s="9">
        <v>7</v>
      </c>
      <c r="AY26" s="18">
        <v>0.55610000000000004</v>
      </c>
      <c r="AZ26" s="18">
        <v>0.55610000000000004</v>
      </c>
      <c r="BA26" s="9" t="s">
        <v>638</v>
      </c>
      <c r="BB26" s="9">
        <v>14</v>
      </c>
      <c r="BC26" s="9" t="s">
        <v>639</v>
      </c>
      <c r="BD26" s="9" t="s">
        <v>96</v>
      </c>
      <c r="BE26" s="11" t="s">
        <v>155</v>
      </c>
      <c r="BF26" s="19">
        <v>1</v>
      </c>
      <c r="BG26" s="9" t="s">
        <v>98</v>
      </c>
      <c r="BH26" s="9" t="s">
        <v>640</v>
      </c>
      <c r="BI26" s="9">
        <v>910.52</v>
      </c>
      <c r="BJ26" s="9" t="s">
        <v>100</v>
      </c>
      <c r="BK26" s="9" t="s">
        <v>367</v>
      </c>
      <c r="BM26" s="9" t="s">
        <v>102</v>
      </c>
      <c r="BN26" s="9" t="s">
        <v>641</v>
      </c>
      <c r="BO26" s="9" t="s">
        <v>369</v>
      </c>
      <c r="BP26" s="9" t="s">
        <v>102</v>
      </c>
      <c r="BQ26" s="9" t="s">
        <v>134</v>
      </c>
    </row>
    <row r="27" spans="1:69">
      <c r="A27" s="10">
        <v>311</v>
      </c>
      <c r="B27" s="11" t="s">
        <v>439</v>
      </c>
      <c r="C27" s="9" t="s">
        <v>642</v>
      </c>
      <c r="D27" s="12" t="str">
        <f t="shared" si="0"/>
        <v>311 文華天際</v>
      </c>
      <c r="E27" s="12" t="s">
        <v>643</v>
      </c>
      <c r="F27" s="20" t="s">
        <v>644</v>
      </c>
      <c r="G27" s="21">
        <v>25.71</v>
      </c>
      <c r="H27" s="22" t="s">
        <v>645</v>
      </c>
      <c r="I27" s="21">
        <v>31.03</v>
      </c>
      <c r="J27" s="21">
        <v>23.19</v>
      </c>
      <c r="K27" s="9" t="s">
        <v>646</v>
      </c>
      <c r="L27" s="15">
        <v>27</v>
      </c>
      <c r="M27" s="15">
        <v>27</v>
      </c>
      <c r="N27" s="15">
        <f t="shared" si="5"/>
        <v>27</v>
      </c>
      <c r="O27" s="15">
        <f t="shared" si="6"/>
        <v>0</v>
      </c>
      <c r="P27" s="9" t="s">
        <v>647</v>
      </c>
      <c r="Q27" s="15">
        <v>32</v>
      </c>
      <c r="R27" s="15">
        <v>34</v>
      </c>
      <c r="S27" s="15">
        <f t="shared" si="7"/>
        <v>2</v>
      </c>
      <c r="T27" s="15">
        <f t="shared" si="4"/>
        <v>33</v>
      </c>
      <c r="Y27" s="9" t="s">
        <v>648</v>
      </c>
      <c r="Z27" s="16">
        <v>115</v>
      </c>
      <c r="AA27" s="16">
        <v>217</v>
      </c>
      <c r="AB27" s="9" t="s">
        <v>112</v>
      </c>
      <c r="AC27" s="9" t="s">
        <v>649</v>
      </c>
      <c r="AD27" s="9" t="s">
        <v>650</v>
      </c>
      <c r="AE27" s="10">
        <v>2024</v>
      </c>
      <c r="AF27" s="9" t="s">
        <v>651</v>
      </c>
      <c r="AG27" s="9" t="s">
        <v>80</v>
      </c>
      <c r="AH27" s="9" t="s">
        <v>652</v>
      </c>
      <c r="AI27" s="9" t="s">
        <v>258</v>
      </c>
      <c r="AJ27" s="9" t="s">
        <v>83</v>
      </c>
      <c r="AK27" s="9" t="s">
        <v>117</v>
      </c>
      <c r="AL27" s="9" t="s">
        <v>653</v>
      </c>
      <c r="AM27" s="9" t="s">
        <v>654</v>
      </c>
      <c r="AN27" s="9" t="s">
        <v>614</v>
      </c>
      <c r="AO27" s="9" t="s">
        <v>615</v>
      </c>
      <c r="AP27" s="9" t="s">
        <v>89</v>
      </c>
      <c r="AQ27" s="9" t="s">
        <v>90</v>
      </c>
      <c r="AR27" s="9" t="s">
        <v>655</v>
      </c>
      <c r="AS27" s="9" t="s">
        <v>656</v>
      </c>
      <c r="AT27" s="17">
        <v>0.32500000000000001</v>
      </c>
      <c r="AU27" s="18">
        <v>0.33</v>
      </c>
      <c r="AV27" s="9" t="s">
        <v>657</v>
      </c>
      <c r="AW27" s="9">
        <v>478</v>
      </c>
      <c r="AX27" s="9">
        <v>8</v>
      </c>
      <c r="AY27" s="18">
        <v>0.3347</v>
      </c>
      <c r="AZ27" s="18">
        <v>0.3347</v>
      </c>
      <c r="BA27" s="9" t="s">
        <v>658</v>
      </c>
      <c r="BB27" s="9">
        <v>22</v>
      </c>
      <c r="BC27" s="9" t="s">
        <v>659</v>
      </c>
      <c r="BD27" s="9" t="s">
        <v>96</v>
      </c>
      <c r="BE27" s="11" t="s">
        <v>155</v>
      </c>
      <c r="BF27" s="19">
        <v>1</v>
      </c>
      <c r="BG27" s="9" t="s">
        <v>98</v>
      </c>
      <c r="BH27" s="9" t="s">
        <v>660</v>
      </c>
      <c r="BI27" s="9">
        <v>1998.07</v>
      </c>
      <c r="BJ27" s="9" t="s">
        <v>100</v>
      </c>
      <c r="BK27" s="9" t="s">
        <v>367</v>
      </c>
      <c r="BM27" s="9" t="s">
        <v>102</v>
      </c>
      <c r="BN27" s="9" t="s">
        <v>661</v>
      </c>
      <c r="BO27" s="9" t="s">
        <v>622</v>
      </c>
      <c r="BP27" s="9" t="s">
        <v>662</v>
      </c>
      <c r="BQ27" s="9" t="s">
        <v>585</v>
      </c>
    </row>
    <row r="28" spans="1:69">
      <c r="A28" s="10">
        <v>312</v>
      </c>
      <c r="B28" s="11" t="s">
        <v>439</v>
      </c>
      <c r="C28" s="9" t="s">
        <v>1121</v>
      </c>
      <c r="D28" s="12" t="str">
        <f t="shared" si="0"/>
        <v>312 君邑羅浮</v>
      </c>
      <c r="E28" s="12" t="s">
        <v>1122</v>
      </c>
      <c r="F28" s="20"/>
      <c r="G28" s="21"/>
      <c r="H28" s="22"/>
      <c r="I28" s="21"/>
      <c r="J28" s="21"/>
      <c r="P28" s="9"/>
      <c r="AI28" s="9" t="s">
        <v>258</v>
      </c>
      <c r="AJ28" s="9" t="s">
        <v>83</v>
      </c>
      <c r="AT28" s="17"/>
      <c r="AY28" s="18"/>
      <c r="BI28" s="9"/>
      <c r="BQ28" s="9" t="s">
        <v>134</v>
      </c>
    </row>
    <row r="29" spans="1:69">
      <c r="A29" s="10">
        <v>313</v>
      </c>
      <c r="B29" s="11" t="s">
        <v>439</v>
      </c>
      <c r="C29" s="9" t="s">
        <v>929</v>
      </c>
      <c r="D29" s="12" t="str">
        <f>CONCATENATE(A29," ",C29)</f>
        <v>313 大亮時代A7</v>
      </c>
      <c r="E29" s="12" t="s">
        <v>930</v>
      </c>
      <c r="F29" s="13" t="s">
        <v>931</v>
      </c>
      <c r="G29" s="14">
        <v>29.4</v>
      </c>
      <c r="H29" s="13" t="s">
        <v>932</v>
      </c>
      <c r="I29" s="14">
        <v>34.24</v>
      </c>
      <c r="J29" s="14">
        <v>27.17</v>
      </c>
      <c r="K29" s="9" t="s">
        <v>933</v>
      </c>
      <c r="L29" s="15">
        <v>35</v>
      </c>
      <c r="M29" s="15">
        <v>36</v>
      </c>
      <c r="N29" s="15">
        <f>(L29+M29)/2</f>
        <v>35.5</v>
      </c>
      <c r="O29" s="15">
        <f>M29-N29</f>
        <v>0.5</v>
      </c>
      <c r="P29" s="9" t="s">
        <v>933</v>
      </c>
      <c r="Q29" s="15">
        <v>35</v>
      </c>
      <c r="R29" s="15">
        <v>36</v>
      </c>
      <c r="S29" s="15">
        <f>R29-Q29</f>
        <v>1</v>
      </c>
      <c r="T29" s="15">
        <f>(Q29+R29)/2</f>
        <v>35.5</v>
      </c>
      <c r="Y29" s="9" t="s">
        <v>934</v>
      </c>
      <c r="Z29" s="16">
        <v>148</v>
      </c>
      <c r="AA29" s="16">
        <v>169</v>
      </c>
      <c r="AB29" s="9" t="s">
        <v>112</v>
      </c>
      <c r="AC29" s="9" t="s">
        <v>77</v>
      </c>
      <c r="AD29" s="9" t="s">
        <v>935</v>
      </c>
      <c r="AE29" s="10">
        <v>2023</v>
      </c>
      <c r="AF29" s="9" t="s">
        <v>468</v>
      </c>
      <c r="AG29" s="9" t="s">
        <v>80</v>
      </c>
      <c r="AH29" s="9" t="s">
        <v>936</v>
      </c>
      <c r="AI29" s="9" t="s">
        <v>258</v>
      </c>
      <c r="AJ29" s="9" t="s">
        <v>83</v>
      </c>
      <c r="AK29" s="9" t="s">
        <v>937</v>
      </c>
      <c r="AL29" s="9" t="s">
        <v>938</v>
      </c>
      <c r="AM29" s="9" t="s">
        <v>939</v>
      </c>
      <c r="AN29" s="9" t="s">
        <v>940</v>
      </c>
      <c r="AO29" s="9" t="s">
        <v>941</v>
      </c>
      <c r="AP29" s="9" t="s">
        <v>941</v>
      </c>
      <c r="AQ29" s="9" t="s">
        <v>942</v>
      </c>
      <c r="AR29" s="9" t="s">
        <v>940</v>
      </c>
      <c r="AS29" s="9" t="s">
        <v>943</v>
      </c>
      <c r="AT29" s="18">
        <v>0.33900000000000002</v>
      </c>
      <c r="AU29" s="18">
        <v>0.33900000000000002</v>
      </c>
      <c r="AV29" s="9" t="s">
        <v>944</v>
      </c>
      <c r="AW29" s="9">
        <v>87</v>
      </c>
      <c r="AX29" s="9">
        <v>3</v>
      </c>
      <c r="AY29" s="18">
        <v>0.50270000000000004</v>
      </c>
      <c r="AZ29" s="18">
        <v>0.50270000000000004</v>
      </c>
      <c r="BA29" s="9" t="s">
        <v>94</v>
      </c>
      <c r="BB29" s="9">
        <v>15</v>
      </c>
      <c r="BC29" s="18" t="s">
        <v>945</v>
      </c>
      <c r="BD29" s="9" t="s">
        <v>946</v>
      </c>
      <c r="BE29" s="11" t="s">
        <v>947</v>
      </c>
      <c r="BF29" s="19">
        <v>0.36</v>
      </c>
      <c r="BG29" s="9" t="s">
        <v>98</v>
      </c>
      <c r="BH29" s="9" t="s">
        <v>948</v>
      </c>
      <c r="BI29" s="9">
        <v>332.5</v>
      </c>
      <c r="BJ29" s="9" t="s">
        <v>259</v>
      </c>
      <c r="BK29" s="9" t="s">
        <v>461</v>
      </c>
      <c r="BN29" s="9" t="s">
        <v>949</v>
      </c>
      <c r="BO29" s="9" t="s">
        <v>950</v>
      </c>
      <c r="BP29" s="9" t="s">
        <v>102</v>
      </c>
      <c r="BQ29" s="9" t="s">
        <v>134</v>
      </c>
    </row>
    <row r="30" spans="1:69" ht="32">
      <c r="A30" s="10">
        <v>314</v>
      </c>
      <c r="B30" s="11" t="s">
        <v>439</v>
      </c>
      <c r="C30" s="9" t="s">
        <v>1143</v>
      </c>
      <c r="D30" s="12" t="str">
        <f>CONCATENATE(A30," ",C30)</f>
        <v>314 大亮 泊</v>
      </c>
      <c r="E30" s="12" t="s">
        <v>1144</v>
      </c>
      <c r="F30" s="13" t="s">
        <v>1145</v>
      </c>
      <c r="G30" s="14">
        <v>33.700000000000003</v>
      </c>
      <c r="H30" s="13" t="s">
        <v>1146</v>
      </c>
      <c r="I30" s="14"/>
      <c r="J30" s="14"/>
      <c r="P30" s="9" t="s">
        <v>1147</v>
      </c>
      <c r="Q30" s="15">
        <v>38</v>
      </c>
      <c r="R30" s="15">
        <v>40</v>
      </c>
      <c r="S30" s="15">
        <f>R30-Q30</f>
        <v>2</v>
      </c>
      <c r="T30" s="15">
        <f>(Q30+R30)/2</f>
        <v>39</v>
      </c>
      <c r="Y30" s="9" t="s">
        <v>1148</v>
      </c>
      <c r="Z30" s="16">
        <v>185</v>
      </c>
      <c r="AA30" s="16">
        <v>185</v>
      </c>
      <c r="AB30" s="17">
        <v>0.8</v>
      </c>
      <c r="AC30" s="9" t="s">
        <v>77</v>
      </c>
      <c r="AD30" s="9" t="s">
        <v>1149</v>
      </c>
      <c r="AE30" s="10">
        <v>2026</v>
      </c>
      <c r="AF30" s="9" t="s">
        <v>1150</v>
      </c>
      <c r="AG30" s="9" t="s">
        <v>80</v>
      </c>
      <c r="AH30" s="28" t="s">
        <v>1151</v>
      </c>
      <c r="AI30" s="9" t="s">
        <v>258</v>
      </c>
      <c r="AJ30" s="9" t="s">
        <v>83</v>
      </c>
      <c r="AK30" s="9" t="s">
        <v>937</v>
      </c>
      <c r="AL30" s="9" t="s">
        <v>356</v>
      </c>
      <c r="AM30" s="9" t="s">
        <v>1152</v>
      </c>
      <c r="AO30" s="9" t="s">
        <v>941</v>
      </c>
      <c r="AP30" s="9" t="s">
        <v>941</v>
      </c>
      <c r="AQ30" s="9" t="s">
        <v>942</v>
      </c>
      <c r="AR30" s="9" t="s">
        <v>940</v>
      </c>
      <c r="AT30" s="18">
        <v>0.33900000000000002</v>
      </c>
      <c r="AU30" s="18">
        <v>0.33900000000000002</v>
      </c>
      <c r="AV30" s="28" t="s">
        <v>1153</v>
      </c>
      <c r="AW30" s="9">
        <v>568</v>
      </c>
      <c r="AX30" s="9">
        <v>17</v>
      </c>
      <c r="AY30" s="18">
        <v>0.63100000000000001</v>
      </c>
      <c r="AZ30" s="18">
        <v>0.63100000000000001</v>
      </c>
      <c r="BA30" s="9" t="s">
        <v>1154</v>
      </c>
      <c r="BB30" s="9">
        <v>29</v>
      </c>
      <c r="BC30" s="18" t="s">
        <v>1155</v>
      </c>
      <c r="BD30" s="9" t="s">
        <v>365</v>
      </c>
      <c r="BE30" s="11" t="s">
        <v>1156</v>
      </c>
      <c r="BF30" s="19">
        <v>0.56000000000000005</v>
      </c>
      <c r="BG30" s="9" t="s">
        <v>271</v>
      </c>
      <c r="BH30" s="9" t="s">
        <v>1157</v>
      </c>
      <c r="BI30" s="9">
        <v>2214</v>
      </c>
      <c r="BJ30" s="9" t="s">
        <v>259</v>
      </c>
      <c r="BK30" s="9" t="s">
        <v>461</v>
      </c>
      <c r="BQ30" s="9" t="s">
        <v>134</v>
      </c>
    </row>
    <row r="31" spans="1:69">
      <c r="A31" s="10">
        <v>401</v>
      </c>
      <c r="B31" s="11" t="s">
        <v>663</v>
      </c>
      <c r="C31" s="9" t="s">
        <v>664</v>
      </c>
      <c r="D31" s="12" t="str">
        <f t="shared" si="0"/>
        <v>401 竹城甲子園</v>
      </c>
      <c r="E31" s="12" t="s">
        <v>665</v>
      </c>
      <c r="F31" s="13" t="s">
        <v>666</v>
      </c>
      <c r="G31" s="14">
        <v>26.45</v>
      </c>
      <c r="H31" s="13" t="s">
        <v>667</v>
      </c>
      <c r="I31" s="14">
        <v>28.89</v>
      </c>
      <c r="J31" s="14">
        <v>22.46</v>
      </c>
      <c r="K31" s="9" t="s">
        <v>209</v>
      </c>
      <c r="L31" s="15">
        <v>26</v>
      </c>
      <c r="M31" s="15">
        <v>28</v>
      </c>
      <c r="N31" s="15">
        <f t="shared" si="5"/>
        <v>27</v>
      </c>
      <c r="O31" s="15">
        <f t="shared" si="6"/>
        <v>1</v>
      </c>
      <c r="P31" s="9" t="s">
        <v>668</v>
      </c>
      <c r="Q31" s="15">
        <v>38</v>
      </c>
      <c r="R31" s="15">
        <v>41</v>
      </c>
      <c r="S31" s="15">
        <f t="shared" si="7"/>
        <v>3</v>
      </c>
      <c r="T31" s="15">
        <f t="shared" si="4"/>
        <v>39.5</v>
      </c>
      <c r="V31" s="9" t="s">
        <v>669</v>
      </c>
      <c r="W31" s="20" t="s">
        <v>670</v>
      </c>
      <c r="AB31" s="9" t="s">
        <v>112</v>
      </c>
      <c r="AC31" s="9" t="s">
        <v>77</v>
      </c>
      <c r="AD31" s="9" t="s">
        <v>671</v>
      </c>
      <c r="AE31" s="10">
        <v>2021</v>
      </c>
      <c r="AF31" s="9" t="s">
        <v>212</v>
      </c>
      <c r="AG31" s="9" t="s">
        <v>80</v>
      </c>
      <c r="AH31" s="9" t="s">
        <v>672</v>
      </c>
      <c r="AI31" s="9" t="s">
        <v>116</v>
      </c>
      <c r="AJ31" s="9" t="s">
        <v>83</v>
      </c>
      <c r="AK31" s="9" t="s">
        <v>117</v>
      </c>
      <c r="AL31" s="9" t="s">
        <v>471</v>
      </c>
      <c r="AM31" s="9" t="s">
        <v>673</v>
      </c>
      <c r="AN31" s="9" t="s">
        <v>674</v>
      </c>
      <c r="AO31" s="9" t="s">
        <v>675</v>
      </c>
      <c r="AP31" s="9" t="s">
        <v>675</v>
      </c>
      <c r="AQ31" s="9" t="s">
        <v>676</v>
      </c>
      <c r="AR31" s="9" t="s">
        <v>677</v>
      </c>
      <c r="AS31" s="9" t="s">
        <v>678</v>
      </c>
      <c r="AT31" s="9" t="s">
        <v>679</v>
      </c>
      <c r="AU31" s="18">
        <v>0.32500000000000001</v>
      </c>
      <c r="AV31" s="9" t="s">
        <v>680</v>
      </c>
      <c r="AW31" s="9">
        <v>1144</v>
      </c>
      <c r="AX31" s="9">
        <v>30</v>
      </c>
      <c r="AY31" s="9" t="s">
        <v>681</v>
      </c>
      <c r="AZ31" s="18">
        <v>0.50209999999999999</v>
      </c>
      <c r="BA31" s="9" t="s">
        <v>296</v>
      </c>
      <c r="BB31" s="9">
        <v>24</v>
      </c>
      <c r="BC31" s="9" t="s">
        <v>682</v>
      </c>
      <c r="BD31" s="9" t="s">
        <v>96</v>
      </c>
      <c r="BE31" s="11" t="s">
        <v>683</v>
      </c>
      <c r="BF31" s="19">
        <v>0.88</v>
      </c>
      <c r="BG31" s="9" t="s">
        <v>98</v>
      </c>
      <c r="BH31" s="9" t="s">
        <v>684</v>
      </c>
      <c r="BI31" s="9">
        <v>4352.46</v>
      </c>
      <c r="BJ31" s="9" t="s">
        <v>100</v>
      </c>
      <c r="BK31" s="9" t="s">
        <v>414</v>
      </c>
      <c r="BL31" s="9" t="s">
        <v>102</v>
      </c>
      <c r="BM31" s="9" t="s">
        <v>102</v>
      </c>
      <c r="BN31" s="9" t="s">
        <v>685</v>
      </c>
      <c r="BO31" s="9" t="s">
        <v>601</v>
      </c>
      <c r="BP31" s="9" t="s">
        <v>102</v>
      </c>
      <c r="BQ31" s="9" t="s">
        <v>134</v>
      </c>
    </row>
    <row r="32" spans="1:69">
      <c r="A32" s="10">
        <v>402</v>
      </c>
      <c r="B32" s="11" t="s">
        <v>663</v>
      </c>
      <c r="C32" s="9" t="s">
        <v>686</v>
      </c>
      <c r="D32" s="12" t="str">
        <f t="shared" si="0"/>
        <v>402 金捷市</v>
      </c>
      <c r="E32" s="12" t="s">
        <v>687</v>
      </c>
      <c r="F32" s="13" t="s">
        <v>688</v>
      </c>
      <c r="G32" s="14">
        <v>26.46</v>
      </c>
      <c r="H32" s="13">
        <v>24.18</v>
      </c>
      <c r="I32" s="14">
        <v>29.57</v>
      </c>
      <c r="J32" s="14">
        <v>21.5</v>
      </c>
      <c r="K32" s="9" t="s">
        <v>689</v>
      </c>
      <c r="L32" s="15">
        <v>30.5</v>
      </c>
      <c r="M32" s="15">
        <v>30.5</v>
      </c>
      <c r="N32" s="15">
        <f t="shared" si="5"/>
        <v>30.5</v>
      </c>
      <c r="O32" s="15">
        <f t="shared" si="6"/>
        <v>0</v>
      </c>
      <c r="P32" s="9" t="s">
        <v>689</v>
      </c>
      <c r="Q32" s="15">
        <v>30.5</v>
      </c>
      <c r="R32" s="15">
        <v>30.5</v>
      </c>
      <c r="S32" s="15">
        <f t="shared" si="7"/>
        <v>0</v>
      </c>
      <c r="T32" s="15">
        <f t="shared" si="4"/>
        <v>30.5</v>
      </c>
      <c r="V32" s="9" t="s">
        <v>690</v>
      </c>
      <c r="W32" s="20" t="s">
        <v>691</v>
      </c>
      <c r="Y32" s="9" t="s">
        <v>692</v>
      </c>
      <c r="Z32" s="16">
        <v>140</v>
      </c>
      <c r="AA32" s="16">
        <v>215</v>
      </c>
      <c r="AB32" s="9" t="s">
        <v>112</v>
      </c>
      <c r="AC32" s="9" t="s">
        <v>77</v>
      </c>
      <c r="AD32" s="9" t="s">
        <v>143</v>
      </c>
      <c r="AE32" s="10">
        <v>2020</v>
      </c>
      <c r="AF32" s="9" t="s">
        <v>167</v>
      </c>
      <c r="AG32" s="9" t="s">
        <v>80</v>
      </c>
      <c r="AH32" s="9" t="s">
        <v>693</v>
      </c>
      <c r="AI32" s="9" t="s">
        <v>116</v>
      </c>
      <c r="AJ32" s="9" t="s">
        <v>83</v>
      </c>
      <c r="AK32" s="9" t="s">
        <v>117</v>
      </c>
      <c r="AL32" s="9" t="s">
        <v>694</v>
      </c>
      <c r="AM32" s="9" t="s">
        <v>694</v>
      </c>
      <c r="AN32" s="9" t="s">
        <v>119</v>
      </c>
      <c r="AO32" s="9" t="s">
        <v>120</v>
      </c>
      <c r="AP32" s="9" t="s">
        <v>89</v>
      </c>
      <c r="AQ32" s="9" t="s">
        <v>121</v>
      </c>
      <c r="AR32" s="9" t="s">
        <v>695</v>
      </c>
      <c r="AS32" s="9" t="s">
        <v>150</v>
      </c>
      <c r="AT32" s="9" t="s">
        <v>407</v>
      </c>
      <c r="AU32" s="18">
        <v>0.31900000000000001</v>
      </c>
      <c r="AV32" s="9" t="s">
        <v>696</v>
      </c>
      <c r="AW32" s="9">
        <v>754</v>
      </c>
      <c r="AX32" s="9">
        <v>23</v>
      </c>
      <c r="AY32" s="9" t="s">
        <v>697</v>
      </c>
      <c r="AZ32" s="18">
        <v>0.50739999999999996</v>
      </c>
      <c r="BA32" s="9" t="s">
        <v>698</v>
      </c>
      <c r="BB32" s="9">
        <v>28</v>
      </c>
      <c r="BC32" s="9" t="s">
        <v>699</v>
      </c>
      <c r="BD32" s="9" t="s">
        <v>96</v>
      </c>
      <c r="BE32" s="11" t="s">
        <v>700</v>
      </c>
      <c r="BF32" s="19">
        <v>1.06</v>
      </c>
      <c r="BG32" s="9" t="s">
        <v>98</v>
      </c>
      <c r="BH32" s="9" t="s">
        <v>701</v>
      </c>
      <c r="BI32" s="9">
        <v>2090.31</v>
      </c>
      <c r="BJ32" s="9" t="s">
        <v>100</v>
      </c>
      <c r="BK32" s="9" t="s">
        <v>414</v>
      </c>
      <c r="BL32" s="9" t="s">
        <v>102</v>
      </c>
      <c r="BM32" s="9" t="s">
        <v>102</v>
      </c>
      <c r="BN32" s="9" t="s">
        <v>702</v>
      </c>
      <c r="BO32" s="9" t="s">
        <v>703</v>
      </c>
      <c r="BP32" s="9" t="s">
        <v>102</v>
      </c>
      <c r="BQ32" s="9" t="s">
        <v>134</v>
      </c>
    </row>
    <row r="33" spans="1:69">
      <c r="A33" s="10">
        <v>403</v>
      </c>
      <c r="B33" s="11" t="s">
        <v>663</v>
      </c>
      <c r="C33" s="9" t="s">
        <v>704</v>
      </c>
      <c r="D33" s="12" t="str">
        <f t="shared" si="0"/>
        <v>403 捷市達</v>
      </c>
      <c r="E33" s="12" t="s">
        <v>705</v>
      </c>
      <c r="F33" s="13" t="s">
        <v>706</v>
      </c>
      <c r="G33" s="14"/>
      <c r="H33" s="13"/>
      <c r="I33" s="14"/>
      <c r="J33" s="14"/>
      <c r="K33" s="9" t="s">
        <v>707</v>
      </c>
      <c r="L33" s="15">
        <v>35</v>
      </c>
      <c r="M33" s="15">
        <v>38</v>
      </c>
      <c r="N33" s="15">
        <f t="shared" si="5"/>
        <v>36.5</v>
      </c>
      <c r="O33" s="15">
        <f t="shared" si="6"/>
        <v>1.5</v>
      </c>
      <c r="P33" s="9" t="s">
        <v>708</v>
      </c>
      <c r="Q33" s="15">
        <v>45</v>
      </c>
      <c r="R33" s="15">
        <v>48</v>
      </c>
      <c r="S33" s="15">
        <f t="shared" si="7"/>
        <v>3</v>
      </c>
      <c r="T33" s="15">
        <f t="shared" si="4"/>
        <v>46.5</v>
      </c>
      <c r="Y33" s="9" t="s">
        <v>709</v>
      </c>
      <c r="Z33" s="16">
        <v>175</v>
      </c>
      <c r="AA33" s="16">
        <v>205</v>
      </c>
      <c r="AB33" s="9" t="s">
        <v>112</v>
      </c>
      <c r="AC33" s="9" t="s">
        <v>77</v>
      </c>
      <c r="AD33" s="25" t="s">
        <v>710</v>
      </c>
      <c r="AE33" s="10">
        <v>2025</v>
      </c>
      <c r="AF33" s="25" t="s">
        <v>256</v>
      </c>
      <c r="AG33" s="9" t="s">
        <v>80</v>
      </c>
      <c r="AH33" s="9" t="s">
        <v>711</v>
      </c>
      <c r="AI33" s="9" t="s">
        <v>116</v>
      </c>
      <c r="AJ33" s="9" t="s">
        <v>83</v>
      </c>
      <c r="AK33" s="9" t="s">
        <v>117</v>
      </c>
      <c r="AL33" s="9" t="s">
        <v>712</v>
      </c>
      <c r="AM33" s="9" t="s">
        <v>713</v>
      </c>
      <c r="AN33" s="9" t="s">
        <v>119</v>
      </c>
      <c r="AO33" s="9" t="s">
        <v>120</v>
      </c>
      <c r="AP33" s="9" t="s">
        <v>89</v>
      </c>
      <c r="AQ33" s="9" t="s">
        <v>121</v>
      </c>
      <c r="AR33" s="9" t="s">
        <v>714</v>
      </c>
      <c r="AS33" s="9" t="s">
        <v>715</v>
      </c>
      <c r="AT33" s="9" t="s">
        <v>124</v>
      </c>
      <c r="AU33" s="18">
        <v>0.32</v>
      </c>
      <c r="AV33" s="9" t="s">
        <v>716</v>
      </c>
      <c r="AW33" s="9">
        <v>771</v>
      </c>
      <c r="AX33" s="9">
        <v>31</v>
      </c>
      <c r="AY33" s="9" t="s">
        <v>717</v>
      </c>
      <c r="AZ33" s="18">
        <v>0.49530000000000002</v>
      </c>
      <c r="BA33" s="9" t="s">
        <v>718</v>
      </c>
      <c r="BB33" s="9">
        <v>29</v>
      </c>
      <c r="BC33" s="9" t="s">
        <v>719</v>
      </c>
      <c r="BD33" s="9" t="s">
        <v>96</v>
      </c>
      <c r="BE33" s="11" t="s">
        <v>720</v>
      </c>
      <c r="BF33" s="19">
        <v>0.97</v>
      </c>
      <c r="BG33" s="9" t="s">
        <v>98</v>
      </c>
      <c r="BH33" s="9" t="s">
        <v>721</v>
      </c>
      <c r="BI33" s="9">
        <v>2067.2399999999998</v>
      </c>
      <c r="BJ33" s="9" t="s">
        <v>100</v>
      </c>
      <c r="BK33" s="9" t="s">
        <v>414</v>
      </c>
      <c r="BL33" s="9" t="s">
        <v>102</v>
      </c>
      <c r="BM33" s="9" t="s">
        <v>102</v>
      </c>
      <c r="BN33" s="9" t="s">
        <v>722</v>
      </c>
      <c r="BO33" s="9" t="s">
        <v>133</v>
      </c>
      <c r="BP33" s="9" t="s">
        <v>102</v>
      </c>
      <c r="BQ33" s="9" t="s">
        <v>134</v>
      </c>
    </row>
    <row r="34" spans="1:69">
      <c r="A34" s="10">
        <v>404</v>
      </c>
      <c r="B34" s="11" t="s">
        <v>663</v>
      </c>
      <c r="C34" s="9" t="s">
        <v>723</v>
      </c>
      <c r="D34" s="12" t="str">
        <f t="shared" si="0"/>
        <v>404 詠勝市中欣</v>
      </c>
      <c r="E34" s="12" t="s">
        <v>724</v>
      </c>
      <c r="F34" s="13" t="s">
        <v>725</v>
      </c>
      <c r="G34" s="14">
        <v>21.19</v>
      </c>
      <c r="H34" s="13">
        <v>32.74</v>
      </c>
      <c r="I34" s="14">
        <v>48.58</v>
      </c>
      <c r="J34" s="14">
        <v>19.559999999999999</v>
      </c>
      <c r="K34" s="9" t="s">
        <v>726</v>
      </c>
      <c r="L34" s="15">
        <v>27</v>
      </c>
      <c r="M34" s="15">
        <v>32</v>
      </c>
      <c r="N34" s="15">
        <f t="shared" si="5"/>
        <v>29.5</v>
      </c>
      <c r="O34" s="15">
        <f t="shared" si="6"/>
        <v>2.5</v>
      </c>
      <c r="P34" s="9" t="s">
        <v>727</v>
      </c>
      <c r="Q34" s="15">
        <v>24</v>
      </c>
      <c r="R34" s="15">
        <v>25</v>
      </c>
      <c r="S34" s="15">
        <f t="shared" si="7"/>
        <v>1</v>
      </c>
      <c r="T34" s="15">
        <f t="shared" si="4"/>
        <v>24.5</v>
      </c>
      <c r="U34" s="15" t="s">
        <v>138</v>
      </c>
      <c r="Y34" s="9" t="s">
        <v>728</v>
      </c>
      <c r="Z34" s="16">
        <v>155</v>
      </c>
      <c r="AA34" s="16">
        <v>205</v>
      </c>
      <c r="AB34" s="9" t="s">
        <v>112</v>
      </c>
      <c r="AC34" s="9" t="s">
        <v>77</v>
      </c>
      <c r="AD34" s="25" t="s">
        <v>729</v>
      </c>
      <c r="AE34" s="10">
        <v>2023</v>
      </c>
      <c r="AF34" s="9" t="s">
        <v>397</v>
      </c>
      <c r="AG34" s="9" t="s">
        <v>80</v>
      </c>
      <c r="AH34" s="9" t="s">
        <v>730</v>
      </c>
      <c r="AI34" s="9" t="s">
        <v>146</v>
      </c>
      <c r="AJ34" s="9" t="s">
        <v>83</v>
      </c>
      <c r="AK34" s="9" t="s">
        <v>117</v>
      </c>
      <c r="AL34" s="9" t="s">
        <v>731</v>
      </c>
      <c r="AM34" s="9" t="s">
        <v>732</v>
      </c>
      <c r="AN34" s="9" t="s">
        <v>733</v>
      </c>
      <c r="AO34" s="9" t="s">
        <v>734</v>
      </c>
      <c r="AP34" s="9" t="s">
        <v>734</v>
      </c>
      <c r="AQ34" s="9" t="s">
        <v>735</v>
      </c>
      <c r="AR34" s="9" t="s">
        <v>736</v>
      </c>
      <c r="AS34" s="9" t="s">
        <v>737</v>
      </c>
      <c r="AT34" s="9" t="s">
        <v>738</v>
      </c>
      <c r="AU34" s="18">
        <v>0.33</v>
      </c>
      <c r="AV34" s="9" t="s">
        <v>739</v>
      </c>
      <c r="AW34" s="9">
        <v>257</v>
      </c>
      <c r="AX34" s="9">
        <v>7</v>
      </c>
      <c r="AY34" s="9" t="s">
        <v>740</v>
      </c>
      <c r="AZ34" s="18">
        <v>0.53259999999999996</v>
      </c>
      <c r="BA34" s="9" t="s">
        <v>741</v>
      </c>
      <c r="BB34" s="9">
        <v>22</v>
      </c>
      <c r="BC34" s="9" t="s">
        <v>742</v>
      </c>
      <c r="BD34" s="9" t="s">
        <v>96</v>
      </c>
      <c r="BE34" s="11" t="s">
        <v>343</v>
      </c>
      <c r="BF34" s="19">
        <v>1.01</v>
      </c>
      <c r="BG34" s="9" t="s">
        <v>98</v>
      </c>
      <c r="BH34" s="9" t="s">
        <v>743</v>
      </c>
      <c r="BI34" s="9">
        <v>926.66</v>
      </c>
      <c r="BJ34" s="9" t="s">
        <v>100</v>
      </c>
      <c r="BK34" s="9" t="s">
        <v>414</v>
      </c>
      <c r="BL34" s="9" t="s">
        <v>102</v>
      </c>
      <c r="BM34" s="9" t="s">
        <v>102</v>
      </c>
      <c r="BN34" s="9" t="s">
        <v>744</v>
      </c>
      <c r="BO34" s="9" t="s">
        <v>416</v>
      </c>
      <c r="BP34" s="9" t="s">
        <v>102</v>
      </c>
      <c r="BQ34" s="9" t="s">
        <v>134</v>
      </c>
    </row>
    <row r="35" spans="1:69">
      <c r="A35" s="10">
        <v>405</v>
      </c>
      <c r="B35" s="11" t="s">
        <v>663</v>
      </c>
      <c r="C35" s="9" t="s">
        <v>745</v>
      </c>
      <c r="D35" s="12" t="str">
        <f t="shared" si="0"/>
        <v>405 新A7</v>
      </c>
      <c r="E35" s="12" t="s">
        <v>746</v>
      </c>
      <c r="F35" s="20" t="s">
        <v>747</v>
      </c>
      <c r="G35" s="21">
        <v>26.59</v>
      </c>
      <c r="H35" s="22" t="s">
        <v>748</v>
      </c>
      <c r="I35" s="21">
        <v>31.65</v>
      </c>
      <c r="J35" s="21">
        <v>24.01</v>
      </c>
      <c r="K35" s="9" t="s">
        <v>749</v>
      </c>
      <c r="L35" s="15">
        <v>31</v>
      </c>
      <c r="M35" s="15">
        <v>33</v>
      </c>
      <c r="N35" s="15">
        <f t="shared" si="5"/>
        <v>32</v>
      </c>
      <c r="O35" s="15">
        <f t="shared" si="6"/>
        <v>1</v>
      </c>
      <c r="P35" s="9" t="s">
        <v>750</v>
      </c>
      <c r="Q35" s="15">
        <v>32</v>
      </c>
      <c r="R35" s="15">
        <v>35</v>
      </c>
      <c r="S35" s="15">
        <f t="shared" si="7"/>
        <v>3</v>
      </c>
      <c r="T35" s="15">
        <f t="shared" si="4"/>
        <v>33.5</v>
      </c>
      <c r="Y35" s="9" t="s">
        <v>751</v>
      </c>
      <c r="Z35" s="16">
        <v>180</v>
      </c>
      <c r="AA35" s="16">
        <v>200</v>
      </c>
      <c r="AB35" s="9" t="s">
        <v>112</v>
      </c>
      <c r="AC35" s="9" t="s">
        <v>77</v>
      </c>
      <c r="AD35" s="9" t="s">
        <v>752</v>
      </c>
      <c r="AE35" s="10">
        <v>2022</v>
      </c>
      <c r="AF35" s="9" t="s">
        <v>79</v>
      </c>
      <c r="AG35" s="9" t="s">
        <v>80</v>
      </c>
      <c r="AH35" s="9" t="s">
        <v>753</v>
      </c>
      <c r="AI35" s="9" t="s">
        <v>258</v>
      </c>
      <c r="AJ35" s="9" t="s">
        <v>83</v>
      </c>
      <c r="AK35" s="9" t="s">
        <v>117</v>
      </c>
      <c r="AL35" s="9" t="s">
        <v>754</v>
      </c>
      <c r="AM35" s="9" t="s">
        <v>755</v>
      </c>
      <c r="AN35" s="9" t="s">
        <v>756</v>
      </c>
      <c r="AO35" s="9" t="s">
        <v>757</v>
      </c>
      <c r="AP35" s="9" t="s">
        <v>89</v>
      </c>
      <c r="AQ35" s="9" t="s">
        <v>90</v>
      </c>
      <c r="AR35" s="9" t="s">
        <v>758</v>
      </c>
      <c r="AS35" s="9" t="s">
        <v>759</v>
      </c>
      <c r="AT35" s="17">
        <v>0.32</v>
      </c>
      <c r="AU35" s="18">
        <v>0.32</v>
      </c>
      <c r="AV35" s="9" t="s">
        <v>760</v>
      </c>
      <c r="AW35" s="9">
        <v>371</v>
      </c>
      <c r="AX35" s="9">
        <v>3</v>
      </c>
      <c r="AY35" s="18">
        <v>0.46450000000000002</v>
      </c>
      <c r="AZ35" s="18">
        <v>0.46450000000000002</v>
      </c>
      <c r="BA35" s="9" t="s">
        <v>94</v>
      </c>
      <c r="BB35" s="9">
        <v>15</v>
      </c>
      <c r="BC35" s="9" t="s">
        <v>761</v>
      </c>
      <c r="BD35" s="9" t="s">
        <v>96</v>
      </c>
      <c r="BE35" s="11" t="s">
        <v>155</v>
      </c>
      <c r="BF35" s="19">
        <v>1</v>
      </c>
      <c r="BG35" s="9" t="s">
        <v>98</v>
      </c>
      <c r="BH35" s="9" t="s">
        <v>762</v>
      </c>
      <c r="BI35" s="9">
        <v>1538.68</v>
      </c>
      <c r="BJ35" s="9" t="s">
        <v>100</v>
      </c>
      <c r="BK35" s="9" t="s">
        <v>367</v>
      </c>
      <c r="BL35" s="9" t="s">
        <v>102</v>
      </c>
      <c r="BM35" s="9" t="s">
        <v>102</v>
      </c>
      <c r="BN35" s="9" t="s">
        <v>763</v>
      </c>
      <c r="BO35" s="9" t="s">
        <v>764</v>
      </c>
      <c r="BP35" s="9" t="s">
        <v>102</v>
      </c>
      <c r="BQ35" s="9" t="s">
        <v>134</v>
      </c>
    </row>
    <row r="36" spans="1:69">
      <c r="A36" s="10">
        <v>406</v>
      </c>
      <c r="B36" s="11" t="s">
        <v>663</v>
      </c>
      <c r="C36" s="9" t="s">
        <v>765</v>
      </c>
      <c r="D36" s="12" t="str">
        <f t="shared" si="0"/>
        <v>406 富御捷境</v>
      </c>
      <c r="E36" s="12" t="s">
        <v>766</v>
      </c>
      <c r="F36" s="13" t="s">
        <v>767</v>
      </c>
      <c r="G36" s="14">
        <v>25.73</v>
      </c>
      <c r="H36" s="13">
        <v>23.14</v>
      </c>
      <c r="I36" s="14">
        <v>31.69</v>
      </c>
      <c r="J36" s="14">
        <v>19.95</v>
      </c>
      <c r="K36" s="9" t="s">
        <v>394</v>
      </c>
      <c r="L36" s="15">
        <v>27</v>
      </c>
      <c r="M36" s="15">
        <v>29</v>
      </c>
      <c r="N36" s="15">
        <f t="shared" si="5"/>
        <v>28</v>
      </c>
      <c r="O36" s="15">
        <f t="shared" si="6"/>
        <v>1</v>
      </c>
      <c r="P36" s="9" t="s">
        <v>768</v>
      </c>
      <c r="Q36" s="15">
        <v>30</v>
      </c>
      <c r="R36" s="15">
        <v>32</v>
      </c>
      <c r="S36" s="15">
        <f t="shared" si="7"/>
        <v>2</v>
      </c>
      <c r="T36" s="15">
        <f t="shared" si="4"/>
        <v>31</v>
      </c>
      <c r="V36" s="9" t="s">
        <v>769</v>
      </c>
      <c r="W36" s="20" t="s">
        <v>770</v>
      </c>
      <c r="Y36" s="9" t="s">
        <v>771</v>
      </c>
      <c r="Z36" s="16">
        <v>195</v>
      </c>
      <c r="AA36" s="16">
        <v>200</v>
      </c>
      <c r="AB36" s="9" t="s">
        <v>112</v>
      </c>
      <c r="AC36" s="9" t="s">
        <v>77</v>
      </c>
      <c r="AD36" s="9" t="s">
        <v>143</v>
      </c>
      <c r="AE36" s="10">
        <v>2020</v>
      </c>
      <c r="AF36" s="9" t="s">
        <v>167</v>
      </c>
      <c r="AG36" s="9" t="s">
        <v>80</v>
      </c>
      <c r="AH36" s="9" t="s">
        <v>772</v>
      </c>
      <c r="AI36" s="9" t="s">
        <v>146</v>
      </c>
      <c r="AJ36" s="9" t="s">
        <v>83</v>
      </c>
      <c r="AK36" s="9" t="s">
        <v>117</v>
      </c>
      <c r="AL36" s="9" t="s">
        <v>773</v>
      </c>
      <c r="AM36" s="9" t="s">
        <v>774</v>
      </c>
      <c r="AN36" s="9" t="s">
        <v>775</v>
      </c>
      <c r="AO36" s="9" t="s">
        <v>776</v>
      </c>
      <c r="AP36" s="9" t="s">
        <v>89</v>
      </c>
      <c r="AQ36" s="9" t="s">
        <v>121</v>
      </c>
      <c r="AR36" s="9" t="s">
        <v>777</v>
      </c>
      <c r="AS36" s="9" t="s">
        <v>778</v>
      </c>
      <c r="AT36" s="9" t="s">
        <v>151</v>
      </c>
      <c r="AU36" s="18">
        <v>0.315</v>
      </c>
      <c r="AV36" s="9" t="s">
        <v>779</v>
      </c>
      <c r="AW36" s="9">
        <v>337</v>
      </c>
      <c r="AX36" s="9">
        <v>2</v>
      </c>
      <c r="AY36" s="9" t="s">
        <v>780</v>
      </c>
      <c r="AZ36" s="18">
        <v>0.47499999999999998</v>
      </c>
      <c r="BA36" s="9" t="s">
        <v>322</v>
      </c>
      <c r="BB36" s="9">
        <v>15</v>
      </c>
      <c r="BC36" s="9" t="s">
        <v>781</v>
      </c>
      <c r="BD36" s="9" t="s">
        <v>96</v>
      </c>
      <c r="BE36" s="11" t="s">
        <v>782</v>
      </c>
      <c r="BF36" s="19">
        <v>0.9</v>
      </c>
      <c r="BG36" s="9" t="s">
        <v>98</v>
      </c>
      <c r="BH36" s="9" t="s">
        <v>783</v>
      </c>
      <c r="BI36" s="9">
        <v>1359.03</v>
      </c>
      <c r="BJ36" s="9" t="s">
        <v>100</v>
      </c>
      <c r="BK36" s="9" t="s">
        <v>524</v>
      </c>
      <c r="BL36" s="9" t="s">
        <v>102</v>
      </c>
      <c r="BM36" s="9" t="s">
        <v>102</v>
      </c>
      <c r="BN36" s="9" t="s">
        <v>784</v>
      </c>
      <c r="BO36" s="9" t="s">
        <v>133</v>
      </c>
      <c r="BP36" s="9" t="s">
        <v>102</v>
      </c>
      <c r="BQ36" s="9" t="s">
        <v>134</v>
      </c>
    </row>
    <row r="37" spans="1:69">
      <c r="A37" s="10">
        <v>407</v>
      </c>
      <c r="B37" s="11" t="s">
        <v>663</v>
      </c>
      <c r="C37" s="9" t="s">
        <v>785</v>
      </c>
      <c r="D37" s="12" t="str">
        <f t="shared" si="0"/>
        <v>407 富宇哈佛苑</v>
      </c>
      <c r="E37" s="12" t="s">
        <v>786</v>
      </c>
      <c r="F37" s="13" t="s">
        <v>787</v>
      </c>
      <c r="G37" s="14">
        <v>34.08</v>
      </c>
      <c r="H37" s="13" t="s">
        <v>788</v>
      </c>
      <c r="I37" s="14">
        <v>41.77</v>
      </c>
      <c r="J37" s="14">
        <v>22.76</v>
      </c>
      <c r="K37" s="9" t="s">
        <v>789</v>
      </c>
      <c r="L37" s="15">
        <v>33</v>
      </c>
      <c r="M37" s="15">
        <v>38</v>
      </c>
      <c r="N37" s="15">
        <f t="shared" si="5"/>
        <v>35.5</v>
      </c>
      <c r="O37" s="15">
        <f t="shared" si="6"/>
        <v>2.5</v>
      </c>
      <c r="P37" s="9" t="s">
        <v>281</v>
      </c>
      <c r="Q37" s="15">
        <v>44</v>
      </c>
      <c r="R37" s="15">
        <v>49</v>
      </c>
      <c r="S37" s="15">
        <f t="shared" si="7"/>
        <v>5</v>
      </c>
      <c r="T37" s="15">
        <f t="shared" si="4"/>
        <v>46.5</v>
      </c>
      <c r="Y37" s="9" t="s">
        <v>790</v>
      </c>
      <c r="Z37" s="16">
        <v>180</v>
      </c>
      <c r="AA37" s="16">
        <v>205</v>
      </c>
      <c r="AB37" s="9" t="s">
        <v>112</v>
      </c>
      <c r="AC37" s="9" t="s">
        <v>77</v>
      </c>
      <c r="AD37" s="9" t="s">
        <v>791</v>
      </c>
      <c r="AE37" s="10">
        <v>2023</v>
      </c>
      <c r="AF37" s="9" t="s">
        <v>468</v>
      </c>
      <c r="AG37" s="9" t="s">
        <v>80</v>
      </c>
      <c r="AH37" s="9" t="s">
        <v>792</v>
      </c>
      <c r="AI37" s="9" t="s">
        <v>116</v>
      </c>
      <c r="AJ37" s="9" t="s">
        <v>83</v>
      </c>
      <c r="AK37" s="9" t="s">
        <v>117</v>
      </c>
      <c r="AL37" s="9" t="s">
        <v>793</v>
      </c>
      <c r="AM37" s="9" t="s">
        <v>794</v>
      </c>
      <c r="AN37" s="9" t="s">
        <v>288</v>
      </c>
      <c r="AO37" s="9" t="s">
        <v>289</v>
      </c>
      <c r="AP37" s="9" t="s">
        <v>289</v>
      </c>
      <c r="AQ37" s="9" t="s">
        <v>290</v>
      </c>
      <c r="AR37" s="9" t="s">
        <v>291</v>
      </c>
      <c r="AS37" s="9" t="s">
        <v>339</v>
      </c>
      <c r="AT37" s="9" t="s">
        <v>293</v>
      </c>
      <c r="AU37" s="18">
        <v>0.33500000000000002</v>
      </c>
      <c r="AV37" s="9" t="s">
        <v>795</v>
      </c>
      <c r="AW37" s="9">
        <v>483</v>
      </c>
      <c r="AX37" s="9">
        <v>8</v>
      </c>
      <c r="AY37" s="9" t="s">
        <v>796</v>
      </c>
      <c r="AZ37" s="18">
        <v>0.44180000000000003</v>
      </c>
      <c r="BA37" s="9" t="s">
        <v>296</v>
      </c>
      <c r="BB37" s="9">
        <v>24</v>
      </c>
      <c r="BC37" s="9" t="s">
        <v>797</v>
      </c>
      <c r="BD37" s="9" t="s">
        <v>580</v>
      </c>
      <c r="BE37" s="11" t="s">
        <v>343</v>
      </c>
      <c r="BF37" s="19">
        <v>1.01</v>
      </c>
      <c r="BG37" s="9" t="s">
        <v>98</v>
      </c>
      <c r="BH37" s="9" t="s">
        <v>798</v>
      </c>
      <c r="BI37" s="9">
        <v>2155.85</v>
      </c>
      <c r="BJ37" s="9" t="s">
        <v>100</v>
      </c>
      <c r="BK37" s="9" t="s">
        <v>367</v>
      </c>
      <c r="BL37" s="9" t="s">
        <v>102</v>
      </c>
      <c r="BM37" s="9" t="s">
        <v>102</v>
      </c>
      <c r="BN37" s="9" t="s">
        <v>799</v>
      </c>
      <c r="BO37" s="9" t="s">
        <v>303</v>
      </c>
      <c r="BP37" s="9" t="s">
        <v>102</v>
      </c>
      <c r="BQ37" s="9" t="s">
        <v>134</v>
      </c>
    </row>
    <row r="38" spans="1:69" ht="21">
      <c r="A38" s="10">
        <v>408</v>
      </c>
      <c r="B38" s="11" t="s">
        <v>663</v>
      </c>
      <c r="C38" s="12" t="s">
        <v>800</v>
      </c>
      <c r="D38" s="12" t="str">
        <f t="shared" si="0"/>
        <v>408 頤昌豐岳</v>
      </c>
      <c r="E38" s="12" t="s">
        <v>801</v>
      </c>
      <c r="F38" s="20" t="s">
        <v>802</v>
      </c>
      <c r="G38" s="21"/>
      <c r="H38" s="22">
        <v>24.99</v>
      </c>
      <c r="I38" s="21">
        <v>27.76</v>
      </c>
      <c r="J38" s="21">
        <v>22.52</v>
      </c>
      <c r="K38" s="9" t="s">
        <v>803</v>
      </c>
      <c r="L38" s="15">
        <v>30</v>
      </c>
      <c r="M38" s="15">
        <v>30</v>
      </c>
      <c r="N38" s="15">
        <f t="shared" si="5"/>
        <v>30</v>
      </c>
      <c r="O38" s="15">
        <f t="shared" si="6"/>
        <v>0</v>
      </c>
      <c r="P38" s="9" t="s">
        <v>803</v>
      </c>
      <c r="Q38" s="15">
        <v>30</v>
      </c>
      <c r="R38" s="15">
        <v>30</v>
      </c>
      <c r="S38" s="15">
        <f t="shared" si="7"/>
        <v>0</v>
      </c>
      <c r="T38" s="15">
        <f t="shared" si="4"/>
        <v>30</v>
      </c>
      <c r="Y38" s="9" t="s">
        <v>804</v>
      </c>
      <c r="Z38" s="16">
        <v>160</v>
      </c>
      <c r="AA38" s="16">
        <v>190</v>
      </c>
      <c r="AB38" s="9" t="s">
        <v>112</v>
      </c>
      <c r="AC38" s="9" t="s">
        <v>77</v>
      </c>
      <c r="AD38" s="9" t="s">
        <v>805</v>
      </c>
      <c r="AE38" s="10">
        <v>2022</v>
      </c>
      <c r="AF38" s="9" t="s">
        <v>114</v>
      </c>
      <c r="AG38" s="9" t="s">
        <v>80</v>
      </c>
      <c r="AH38" s="9" t="s">
        <v>806</v>
      </c>
      <c r="AI38" s="9" t="s">
        <v>258</v>
      </c>
      <c r="AJ38" s="9" t="s">
        <v>83</v>
      </c>
      <c r="AK38" s="9" t="s">
        <v>117</v>
      </c>
      <c r="AL38" s="9" t="s">
        <v>807</v>
      </c>
      <c r="AM38" s="26" t="s">
        <v>807</v>
      </c>
      <c r="AN38" s="9" t="s">
        <v>808</v>
      </c>
      <c r="AO38" s="9" t="s">
        <v>809</v>
      </c>
      <c r="AP38" s="9" t="s">
        <v>809</v>
      </c>
      <c r="AQ38" s="9" t="s">
        <v>810</v>
      </c>
      <c r="AR38" s="9" t="s">
        <v>811</v>
      </c>
      <c r="AS38" s="9" t="s">
        <v>812</v>
      </c>
      <c r="AT38" s="17">
        <v>0.32</v>
      </c>
      <c r="AU38" s="18">
        <v>0.32</v>
      </c>
      <c r="AV38" s="9" t="s">
        <v>813</v>
      </c>
      <c r="AW38" s="9">
        <v>154</v>
      </c>
      <c r="AX38" s="9">
        <v>9</v>
      </c>
      <c r="AY38" s="18">
        <v>0.4622</v>
      </c>
      <c r="AZ38" s="18">
        <v>0.4622</v>
      </c>
      <c r="BA38" s="9" t="s">
        <v>94</v>
      </c>
      <c r="BB38" s="9">
        <v>15</v>
      </c>
      <c r="BC38" s="9" t="s">
        <v>814</v>
      </c>
      <c r="BD38" s="9" t="s">
        <v>96</v>
      </c>
      <c r="BE38" s="11" t="s">
        <v>815</v>
      </c>
      <c r="BF38" s="19">
        <v>1.17</v>
      </c>
      <c r="BG38" s="9" t="s">
        <v>98</v>
      </c>
      <c r="BH38" s="9" t="s">
        <v>816</v>
      </c>
      <c r="BI38" s="9">
        <v>933.78</v>
      </c>
      <c r="BJ38" s="9" t="s">
        <v>100</v>
      </c>
      <c r="BK38" s="9" t="s">
        <v>817</v>
      </c>
      <c r="BL38" s="9" t="s">
        <v>102</v>
      </c>
      <c r="BM38" s="9" t="s">
        <v>102</v>
      </c>
      <c r="BN38" s="9" t="s">
        <v>818</v>
      </c>
      <c r="BO38" s="9" t="s">
        <v>819</v>
      </c>
      <c r="BP38" s="9" t="s">
        <v>102</v>
      </c>
      <c r="BQ38" s="9" t="s">
        <v>134</v>
      </c>
    </row>
    <row r="39" spans="1:69">
      <c r="A39" s="10">
        <v>409</v>
      </c>
      <c r="B39" s="11" t="s">
        <v>663</v>
      </c>
      <c r="C39" s="12" t="s">
        <v>820</v>
      </c>
      <c r="D39" s="12" t="str">
        <f t="shared" si="0"/>
        <v>409 新未來2</v>
      </c>
      <c r="E39" s="12" t="s">
        <v>821</v>
      </c>
      <c r="F39" s="20" t="s">
        <v>822</v>
      </c>
      <c r="G39" s="21"/>
      <c r="H39" s="22">
        <v>26.39</v>
      </c>
      <c r="I39" s="21">
        <v>29.56</v>
      </c>
      <c r="J39" s="21">
        <v>23.12</v>
      </c>
      <c r="K39" s="9" t="s">
        <v>823</v>
      </c>
      <c r="L39" s="15">
        <v>30</v>
      </c>
      <c r="M39" s="15">
        <v>32</v>
      </c>
      <c r="N39" s="15">
        <f t="shared" si="5"/>
        <v>31</v>
      </c>
      <c r="O39" s="15">
        <f t="shared" si="6"/>
        <v>1</v>
      </c>
      <c r="P39" s="9" t="s">
        <v>823</v>
      </c>
      <c r="Q39" s="15">
        <v>30</v>
      </c>
      <c r="R39" s="15">
        <v>32</v>
      </c>
      <c r="S39" s="15">
        <f t="shared" si="7"/>
        <v>2</v>
      </c>
      <c r="T39" s="15">
        <f t="shared" si="4"/>
        <v>31</v>
      </c>
      <c r="Y39" s="9" t="s">
        <v>824</v>
      </c>
      <c r="Z39" s="16">
        <v>180</v>
      </c>
      <c r="AA39" s="16">
        <v>210</v>
      </c>
      <c r="AB39" s="17">
        <v>0.75</v>
      </c>
      <c r="AC39" s="9" t="s">
        <v>77</v>
      </c>
      <c r="AD39" s="9" t="s">
        <v>825</v>
      </c>
      <c r="AE39" s="10">
        <v>2022</v>
      </c>
      <c r="AF39" s="9" t="s">
        <v>425</v>
      </c>
      <c r="AG39" s="9" t="s">
        <v>80</v>
      </c>
      <c r="AH39" s="9" t="s">
        <v>826</v>
      </c>
      <c r="AI39" s="9" t="s">
        <v>258</v>
      </c>
      <c r="AJ39" s="9" t="s">
        <v>83</v>
      </c>
      <c r="AK39" s="9" t="s">
        <v>117</v>
      </c>
      <c r="AL39" s="9" t="s">
        <v>827</v>
      </c>
      <c r="AM39" s="9" t="s">
        <v>828</v>
      </c>
      <c r="AN39" s="9" t="s">
        <v>829</v>
      </c>
      <c r="AO39" s="9" t="s">
        <v>830</v>
      </c>
      <c r="AP39" s="9" t="s">
        <v>830</v>
      </c>
      <c r="AQ39" s="9" t="s">
        <v>831</v>
      </c>
      <c r="AR39" s="9" t="s">
        <v>832</v>
      </c>
      <c r="AS39" s="9" t="s">
        <v>759</v>
      </c>
      <c r="AT39" s="18">
        <v>0.33</v>
      </c>
      <c r="AU39" s="18">
        <v>0.33</v>
      </c>
      <c r="AV39" s="9" t="s">
        <v>833</v>
      </c>
      <c r="AW39" s="9">
        <v>376</v>
      </c>
      <c r="AX39" s="9">
        <v>9</v>
      </c>
      <c r="AY39" s="18">
        <v>0.36220000000000002</v>
      </c>
      <c r="AZ39" s="18">
        <v>0.36220000000000002</v>
      </c>
      <c r="BA39" s="9" t="s">
        <v>658</v>
      </c>
      <c r="BB39" s="9">
        <v>22</v>
      </c>
      <c r="BC39" s="18" t="s">
        <v>834</v>
      </c>
      <c r="BD39" s="9" t="s">
        <v>269</v>
      </c>
      <c r="BE39" s="11" t="s">
        <v>270</v>
      </c>
      <c r="BF39" s="19">
        <v>1.1399999999999999</v>
      </c>
      <c r="BG39" s="9" t="s">
        <v>98</v>
      </c>
      <c r="BH39" s="9" t="s">
        <v>835</v>
      </c>
      <c r="BI39" s="9">
        <v>1955.56</v>
      </c>
      <c r="BJ39" s="9" t="s">
        <v>100</v>
      </c>
      <c r="BK39" s="9" t="s">
        <v>367</v>
      </c>
      <c r="BL39" s="9" t="s">
        <v>102</v>
      </c>
      <c r="BM39" s="9" t="s">
        <v>102</v>
      </c>
      <c r="BN39" s="9" t="s">
        <v>836</v>
      </c>
      <c r="BO39" s="9" t="s">
        <v>837</v>
      </c>
      <c r="BP39" s="9" t="s">
        <v>102</v>
      </c>
      <c r="BQ39" s="9" t="s">
        <v>134</v>
      </c>
    </row>
    <row r="40" spans="1:69" ht="16">
      <c r="A40" s="10">
        <v>410</v>
      </c>
      <c r="B40" s="11" t="s">
        <v>663</v>
      </c>
      <c r="C40" s="23" t="s">
        <v>838</v>
      </c>
      <c r="D40" s="12" t="str">
        <f t="shared" si="0"/>
        <v>410 新未來3</v>
      </c>
      <c r="E40" s="12" t="s">
        <v>839</v>
      </c>
      <c r="F40" s="20" t="s">
        <v>840</v>
      </c>
      <c r="G40" s="21">
        <v>30.02</v>
      </c>
      <c r="H40" s="22">
        <v>29.48</v>
      </c>
      <c r="I40" s="21">
        <v>32</v>
      </c>
      <c r="J40" s="21">
        <v>25.65</v>
      </c>
      <c r="K40" s="9" t="s">
        <v>841</v>
      </c>
      <c r="L40" s="15">
        <v>33</v>
      </c>
      <c r="M40" s="15">
        <v>38</v>
      </c>
      <c r="N40" s="15">
        <f t="shared" si="5"/>
        <v>35.5</v>
      </c>
      <c r="O40" s="15">
        <f t="shared" si="6"/>
        <v>2.5</v>
      </c>
      <c r="P40" s="9" t="s">
        <v>841</v>
      </c>
      <c r="Q40" s="15">
        <v>33</v>
      </c>
      <c r="R40" s="15">
        <v>38</v>
      </c>
      <c r="S40" s="15">
        <f t="shared" si="7"/>
        <v>5</v>
      </c>
      <c r="T40" s="15">
        <f t="shared" si="4"/>
        <v>35.5</v>
      </c>
      <c r="Y40" s="9" t="s">
        <v>842</v>
      </c>
      <c r="Z40" s="16">
        <v>190</v>
      </c>
      <c r="AA40" s="16">
        <v>190</v>
      </c>
      <c r="AB40" s="9" t="s">
        <v>112</v>
      </c>
      <c r="AC40" s="9" t="s">
        <v>77</v>
      </c>
      <c r="AD40" s="9" t="s">
        <v>843</v>
      </c>
      <c r="AE40" s="10">
        <v>2023</v>
      </c>
      <c r="AF40" s="9" t="s">
        <v>468</v>
      </c>
      <c r="AG40" s="9" t="s">
        <v>80</v>
      </c>
      <c r="AH40" s="9" t="s">
        <v>844</v>
      </c>
      <c r="AI40" s="9" t="s">
        <v>258</v>
      </c>
      <c r="AJ40" s="9" t="s">
        <v>83</v>
      </c>
      <c r="AK40" s="9" t="s">
        <v>117</v>
      </c>
      <c r="AL40" s="9" t="s">
        <v>845</v>
      </c>
      <c r="AM40" s="9" t="s">
        <v>828</v>
      </c>
      <c r="AN40" s="9" t="s">
        <v>829</v>
      </c>
      <c r="AO40" s="9" t="s">
        <v>830</v>
      </c>
      <c r="AP40" s="9" t="s">
        <v>830</v>
      </c>
      <c r="AQ40" s="9" t="s">
        <v>831</v>
      </c>
      <c r="AR40" s="9" t="s">
        <v>832</v>
      </c>
      <c r="AS40" s="9" t="s">
        <v>759</v>
      </c>
      <c r="AT40" s="18">
        <v>0.3327</v>
      </c>
      <c r="AU40" s="18">
        <v>0.3327</v>
      </c>
      <c r="AV40" s="9" t="s">
        <v>846</v>
      </c>
      <c r="AW40" s="9">
        <v>582</v>
      </c>
      <c r="AX40" s="9">
        <v>16</v>
      </c>
      <c r="AY40" s="18">
        <v>0.38300000000000001</v>
      </c>
      <c r="AZ40" s="18">
        <v>0.38300000000000001</v>
      </c>
      <c r="BA40" s="9" t="s">
        <v>847</v>
      </c>
      <c r="BB40" s="9">
        <v>22</v>
      </c>
      <c r="BC40" s="18" t="s">
        <v>848</v>
      </c>
      <c r="BD40" s="9" t="s">
        <v>269</v>
      </c>
      <c r="BE40" s="11" t="s">
        <v>155</v>
      </c>
      <c r="BF40" s="19">
        <v>1</v>
      </c>
      <c r="BG40" s="9" t="s">
        <v>98</v>
      </c>
      <c r="BH40" s="9" t="s">
        <v>849</v>
      </c>
      <c r="BI40" s="9">
        <v>2513.2199999999998</v>
      </c>
      <c r="BJ40" s="9" t="s">
        <v>100</v>
      </c>
      <c r="BK40" s="9" t="s">
        <v>367</v>
      </c>
      <c r="BL40" s="9" t="s">
        <v>102</v>
      </c>
      <c r="BM40" s="9" t="s">
        <v>102</v>
      </c>
      <c r="BN40" s="9" t="s">
        <v>850</v>
      </c>
      <c r="BO40" s="9" t="s">
        <v>851</v>
      </c>
      <c r="BP40" s="9" t="s">
        <v>102</v>
      </c>
      <c r="BQ40" s="9" t="s">
        <v>134</v>
      </c>
    </row>
    <row r="41" spans="1:69">
      <c r="A41" s="10">
        <v>411</v>
      </c>
      <c r="B41" s="11" t="s">
        <v>663</v>
      </c>
      <c r="C41" s="9" t="s">
        <v>852</v>
      </c>
      <c r="D41" s="12" t="str">
        <f t="shared" si="0"/>
        <v>411 和洲金剛</v>
      </c>
      <c r="E41" s="12" t="s">
        <v>853</v>
      </c>
      <c r="F41" s="13" t="s">
        <v>854</v>
      </c>
      <c r="G41" s="14">
        <v>26.33</v>
      </c>
      <c r="H41" s="13" t="s">
        <v>855</v>
      </c>
      <c r="I41" s="14">
        <v>28.67</v>
      </c>
      <c r="J41" s="14">
        <v>21.01</v>
      </c>
      <c r="K41" s="9" t="s">
        <v>856</v>
      </c>
      <c r="L41" s="15">
        <v>25</v>
      </c>
      <c r="M41" s="15">
        <v>27</v>
      </c>
      <c r="N41" s="15">
        <f t="shared" si="5"/>
        <v>26</v>
      </c>
      <c r="O41" s="15">
        <f t="shared" si="6"/>
        <v>1</v>
      </c>
      <c r="P41" s="9" t="s">
        <v>768</v>
      </c>
      <c r="Q41" s="15">
        <v>30</v>
      </c>
      <c r="R41" s="15">
        <v>32</v>
      </c>
      <c r="S41" s="15">
        <f t="shared" si="7"/>
        <v>2</v>
      </c>
      <c r="T41" s="15">
        <f t="shared" si="4"/>
        <v>31</v>
      </c>
      <c r="Y41" s="9" t="s">
        <v>269</v>
      </c>
      <c r="AB41" s="9" t="s">
        <v>112</v>
      </c>
      <c r="AC41" s="9" t="s">
        <v>77</v>
      </c>
      <c r="AD41" s="9" t="s">
        <v>211</v>
      </c>
      <c r="AE41" s="10">
        <v>2022</v>
      </c>
      <c r="AF41" s="9" t="s">
        <v>114</v>
      </c>
      <c r="AG41" s="9" t="s">
        <v>80</v>
      </c>
      <c r="AH41" s="9" t="s">
        <v>857</v>
      </c>
      <c r="AI41" s="9" t="s">
        <v>116</v>
      </c>
      <c r="AJ41" s="9" t="s">
        <v>83</v>
      </c>
      <c r="AK41" s="9" t="s">
        <v>117</v>
      </c>
      <c r="AL41" s="9" t="s">
        <v>858</v>
      </c>
      <c r="AM41" s="9" t="s">
        <v>859</v>
      </c>
      <c r="AN41" s="9" t="s">
        <v>860</v>
      </c>
      <c r="AO41" s="9" t="s">
        <v>861</v>
      </c>
      <c r="AP41" s="9" t="s">
        <v>89</v>
      </c>
      <c r="AQ41" s="9" t="s">
        <v>121</v>
      </c>
      <c r="AR41" s="9" t="s">
        <v>862</v>
      </c>
      <c r="AS41" s="9" t="s">
        <v>150</v>
      </c>
      <c r="AT41" s="9" t="s">
        <v>124</v>
      </c>
      <c r="AU41" s="18">
        <v>0.32</v>
      </c>
      <c r="AV41" s="9" t="s">
        <v>863</v>
      </c>
      <c r="AW41" s="9">
        <v>210</v>
      </c>
      <c r="AX41" s="9">
        <v>11</v>
      </c>
      <c r="AY41" s="9" t="s">
        <v>864</v>
      </c>
      <c r="AZ41" s="18">
        <v>0.45540000000000003</v>
      </c>
      <c r="BA41" s="9" t="s">
        <v>865</v>
      </c>
      <c r="BB41" s="9">
        <v>15</v>
      </c>
      <c r="BC41" s="9" t="s">
        <v>866</v>
      </c>
      <c r="BD41" s="9" t="s">
        <v>96</v>
      </c>
      <c r="BE41" s="11" t="s">
        <v>325</v>
      </c>
      <c r="BF41" s="19">
        <v>1.02</v>
      </c>
      <c r="BG41" s="9" t="s">
        <v>98</v>
      </c>
      <c r="BH41" s="9" t="s">
        <v>783</v>
      </c>
      <c r="BI41" s="9">
        <v>1359.03</v>
      </c>
      <c r="BJ41" s="9" t="s">
        <v>100</v>
      </c>
      <c r="BK41" s="9" t="s">
        <v>867</v>
      </c>
      <c r="BL41" s="9" t="s">
        <v>868</v>
      </c>
      <c r="BM41" s="9" t="s">
        <v>102</v>
      </c>
      <c r="BN41" s="9" t="s">
        <v>869</v>
      </c>
      <c r="BO41" s="9" t="s">
        <v>133</v>
      </c>
      <c r="BP41" s="9" t="s">
        <v>102</v>
      </c>
      <c r="BQ41" s="9" t="s">
        <v>134</v>
      </c>
    </row>
    <row r="42" spans="1:69">
      <c r="A42" s="10">
        <v>412</v>
      </c>
      <c r="B42" s="11" t="s">
        <v>663</v>
      </c>
      <c r="C42" s="9" t="s">
        <v>870</v>
      </c>
      <c r="D42" s="12" t="str">
        <f t="shared" si="0"/>
        <v>412 君邑丘比特</v>
      </c>
      <c r="E42" s="12" t="s">
        <v>871</v>
      </c>
      <c r="F42" s="13" t="s">
        <v>872</v>
      </c>
      <c r="G42" s="14">
        <v>27.47</v>
      </c>
      <c r="H42" s="13" t="s">
        <v>873</v>
      </c>
      <c r="I42" s="14">
        <v>32.229999999999997</v>
      </c>
      <c r="J42" s="14">
        <v>22.94</v>
      </c>
      <c r="K42" s="9" t="s">
        <v>874</v>
      </c>
      <c r="L42" s="15">
        <v>27.8</v>
      </c>
      <c r="M42" s="15">
        <v>32</v>
      </c>
      <c r="N42" s="15">
        <f t="shared" si="5"/>
        <v>29.9</v>
      </c>
      <c r="O42" s="15">
        <f t="shared" si="6"/>
        <v>2.1000000000000014</v>
      </c>
      <c r="P42" s="9" t="s">
        <v>875</v>
      </c>
      <c r="Q42" s="15">
        <v>29.8</v>
      </c>
      <c r="R42" s="15">
        <v>38.200000000000003</v>
      </c>
      <c r="S42" s="15">
        <f t="shared" si="7"/>
        <v>8.4000000000000021</v>
      </c>
      <c r="T42" s="15">
        <f t="shared" si="4"/>
        <v>34</v>
      </c>
      <c r="Y42" s="9" t="s">
        <v>876</v>
      </c>
      <c r="Z42" s="16">
        <v>180</v>
      </c>
      <c r="AA42" s="16">
        <v>230</v>
      </c>
      <c r="AB42" s="9" t="s">
        <v>112</v>
      </c>
      <c r="AC42" s="9" t="s">
        <v>77</v>
      </c>
      <c r="AD42" s="9" t="s">
        <v>877</v>
      </c>
      <c r="AE42" s="10">
        <v>2022</v>
      </c>
      <c r="AF42" s="9" t="s">
        <v>425</v>
      </c>
      <c r="AG42" s="9" t="s">
        <v>80</v>
      </c>
      <c r="AH42" s="9" t="s">
        <v>878</v>
      </c>
      <c r="AI42" s="9" t="s">
        <v>258</v>
      </c>
      <c r="AJ42" s="9" t="s">
        <v>83</v>
      </c>
      <c r="AK42" s="9" t="s">
        <v>879</v>
      </c>
      <c r="AL42" s="9" t="s">
        <v>880</v>
      </c>
      <c r="AM42" s="9" t="s">
        <v>881</v>
      </c>
      <c r="AN42" s="9" t="s">
        <v>882</v>
      </c>
      <c r="AO42" s="9" t="s">
        <v>883</v>
      </c>
      <c r="AP42" s="9" t="s">
        <v>883</v>
      </c>
      <c r="AQ42" s="9" t="s">
        <v>884</v>
      </c>
      <c r="AR42" s="9" t="s">
        <v>884</v>
      </c>
      <c r="AS42" s="9" t="s">
        <v>885</v>
      </c>
      <c r="AT42" s="9" t="s">
        <v>886</v>
      </c>
      <c r="AU42" s="18">
        <v>0.33129999999999998</v>
      </c>
      <c r="AV42" s="9" t="s">
        <v>887</v>
      </c>
      <c r="AW42" s="9">
        <v>173</v>
      </c>
      <c r="AX42" s="9">
        <v>5</v>
      </c>
      <c r="AY42" s="18">
        <v>0.46150000000000002</v>
      </c>
      <c r="AZ42" s="18">
        <v>0.46150000000000002</v>
      </c>
      <c r="BA42" s="9" t="s">
        <v>888</v>
      </c>
      <c r="BB42" s="9">
        <v>15</v>
      </c>
      <c r="BC42" s="9" t="s">
        <v>889</v>
      </c>
      <c r="BD42" s="9" t="s">
        <v>96</v>
      </c>
      <c r="BE42" s="11" t="s">
        <v>890</v>
      </c>
      <c r="BF42" s="19">
        <v>1.07</v>
      </c>
      <c r="BG42" s="9" t="s">
        <v>98</v>
      </c>
      <c r="BH42" s="9" t="s">
        <v>891</v>
      </c>
      <c r="BI42" s="9">
        <v>1030.74</v>
      </c>
      <c r="BJ42" s="9" t="s">
        <v>100</v>
      </c>
      <c r="BK42" s="9" t="s">
        <v>867</v>
      </c>
      <c r="BL42" s="9" t="s">
        <v>102</v>
      </c>
      <c r="BM42" s="9" t="s">
        <v>102</v>
      </c>
      <c r="BN42" s="9" t="s">
        <v>892</v>
      </c>
      <c r="BO42" s="9" t="s">
        <v>893</v>
      </c>
      <c r="BP42" s="9" t="s">
        <v>102</v>
      </c>
      <c r="BQ42" s="9" t="s">
        <v>134</v>
      </c>
    </row>
    <row r="43" spans="1:69">
      <c r="A43" s="10">
        <v>413</v>
      </c>
      <c r="B43" s="11" t="s">
        <v>663</v>
      </c>
      <c r="C43" s="9" t="s">
        <v>894</v>
      </c>
      <c r="D43" s="12" t="str">
        <f t="shared" si="0"/>
        <v>413 頤昌璞岳</v>
      </c>
      <c r="E43" s="12" t="s">
        <v>895</v>
      </c>
      <c r="F43" s="13" t="s">
        <v>896</v>
      </c>
      <c r="G43" s="14">
        <v>27.11</v>
      </c>
      <c r="H43" s="13">
        <v>26.83</v>
      </c>
      <c r="I43" s="14">
        <v>34.42</v>
      </c>
      <c r="J43" s="14">
        <v>24.79</v>
      </c>
      <c r="K43" s="9" t="s">
        <v>897</v>
      </c>
      <c r="L43" s="15">
        <v>32</v>
      </c>
      <c r="M43" s="15">
        <v>33</v>
      </c>
      <c r="N43" s="15">
        <f t="shared" si="5"/>
        <v>32.5</v>
      </c>
      <c r="O43" s="15">
        <f t="shared" si="6"/>
        <v>0.5</v>
      </c>
      <c r="P43" s="9" t="s">
        <v>897</v>
      </c>
      <c r="Q43" s="15">
        <v>32</v>
      </c>
      <c r="R43" s="15">
        <v>33</v>
      </c>
      <c r="S43" s="15">
        <f t="shared" si="7"/>
        <v>1</v>
      </c>
      <c r="T43" s="15">
        <f t="shared" si="4"/>
        <v>32.5</v>
      </c>
      <c r="Y43" s="9" t="s">
        <v>269</v>
      </c>
      <c r="AB43" s="24" t="s">
        <v>96</v>
      </c>
      <c r="AC43" s="9" t="s">
        <v>898</v>
      </c>
      <c r="AD43" s="9" t="s">
        <v>899</v>
      </c>
      <c r="AE43" s="10">
        <v>2022</v>
      </c>
      <c r="AF43" s="9" t="s">
        <v>900</v>
      </c>
      <c r="AG43" s="9" t="s">
        <v>80</v>
      </c>
      <c r="AH43" s="9" t="s">
        <v>901</v>
      </c>
      <c r="AI43" s="9" t="s">
        <v>258</v>
      </c>
      <c r="AJ43" s="9" t="s">
        <v>83</v>
      </c>
      <c r="AK43" s="9" t="s">
        <v>879</v>
      </c>
      <c r="AL43" s="9" t="s">
        <v>902</v>
      </c>
      <c r="AM43" s="9" t="s">
        <v>903</v>
      </c>
      <c r="AN43" s="9" t="s">
        <v>808</v>
      </c>
      <c r="AO43" s="9" t="s">
        <v>809</v>
      </c>
      <c r="AP43" s="9" t="s">
        <v>809</v>
      </c>
      <c r="AQ43" s="9" t="s">
        <v>904</v>
      </c>
      <c r="AR43" s="9" t="s">
        <v>811</v>
      </c>
      <c r="AS43" s="9" t="s">
        <v>905</v>
      </c>
      <c r="AT43" s="18">
        <v>0.32100000000000001</v>
      </c>
      <c r="AU43" s="18">
        <v>0.32100000000000001</v>
      </c>
      <c r="AV43" s="9" t="s">
        <v>906</v>
      </c>
      <c r="AW43" s="9">
        <v>124</v>
      </c>
      <c r="AX43" s="9">
        <v>11</v>
      </c>
      <c r="AY43" s="18">
        <v>0.51349999999999996</v>
      </c>
      <c r="AZ43" s="18">
        <v>0.51349999999999996</v>
      </c>
      <c r="BA43" s="20" t="s">
        <v>907</v>
      </c>
      <c r="BB43" s="20">
        <v>14</v>
      </c>
      <c r="BC43" s="9" t="s">
        <v>908</v>
      </c>
      <c r="BD43" s="9" t="s">
        <v>269</v>
      </c>
      <c r="BE43" s="11" t="s">
        <v>436</v>
      </c>
      <c r="BF43" s="19">
        <v>1.01</v>
      </c>
      <c r="BG43" s="9" t="s">
        <v>98</v>
      </c>
      <c r="BH43" s="9" t="s">
        <v>909</v>
      </c>
      <c r="BI43" s="9">
        <v>595.29</v>
      </c>
      <c r="BJ43" s="9" t="s">
        <v>100</v>
      </c>
      <c r="BK43" s="9" t="s">
        <v>867</v>
      </c>
      <c r="BL43" s="9" t="s">
        <v>102</v>
      </c>
      <c r="BM43" s="9" t="s">
        <v>102</v>
      </c>
      <c r="BN43" s="9" t="s">
        <v>910</v>
      </c>
      <c r="BO43" s="9" t="s">
        <v>911</v>
      </c>
      <c r="BP43" s="9" t="s">
        <v>102</v>
      </c>
      <c r="BQ43" s="9" t="s">
        <v>134</v>
      </c>
    </row>
    <row r="44" spans="1:69">
      <c r="A44" s="10">
        <v>414</v>
      </c>
      <c r="B44" s="11" t="s">
        <v>663</v>
      </c>
      <c r="C44" s="9" t="s">
        <v>912</v>
      </c>
      <c r="D44" s="12" t="str">
        <f t="shared" si="0"/>
        <v>414 合謙學</v>
      </c>
      <c r="E44" s="12" t="s">
        <v>913</v>
      </c>
      <c r="F44" s="13" t="s">
        <v>914</v>
      </c>
      <c r="K44" s="9" t="s">
        <v>750</v>
      </c>
      <c r="L44" s="15">
        <v>32</v>
      </c>
      <c r="M44" s="15">
        <v>35</v>
      </c>
      <c r="N44" s="15">
        <f t="shared" si="5"/>
        <v>33.5</v>
      </c>
      <c r="O44" s="15">
        <f t="shared" si="6"/>
        <v>1.5</v>
      </c>
      <c r="P44" s="9" t="s">
        <v>915</v>
      </c>
      <c r="Q44" s="15">
        <v>35</v>
      </c>
      <c r="R44" s="15">
        <v>42</v>
      </c>
      <c r="S44" s="15">
        <f t="shared" si="7"/>
        <v>7</v>
      </c>
      <c r="T44" s="15">
        <f t="shared" si="4"/>
        <v>38.5</v>
      </c>
      <c r="Y44" s="9" t="s">
        <v>269</v>
      </c>
      <c r="AB44" s="24" t="s">
        <v>96</v>
      </c>
      <c r="AC44" s="9" t="s">
        <v>77</v>
      </c>
      <c r="AD44" s="9" t="s">
        <v>424</v>
      </c>
      <c r="AE44" s="10">
        <v>2022</v>
      </c>
      <c r="AF44" s="9" t="s">
        <v>425</v>
      </c>
      <c r="AG44" s="9" t="s">
        <v>80</v>
      </c>
      <c r="AH44" s="9" t="s">
        <v>916</v>
      </c>
      <c r="AI44" s="9" t="s">
        <v>258</v>
      </c>
      <c r="AJ44" s="9" t="s">
        <v>83</v>
      </c>
      <c r="AK44" s="9" t="s">
        <v>879</v>
      </c>
      <c r="AL44" s="9" t="s">
        <v>917</v>
      </c>
      <c r="AM44" s="9" t="s">
        <v>917</v>
      </c>
      <c r="AN44" s="9" t="s">
        <v>918</v>
      </c>
      <c r="AO44" s="9" t="s">
        <v>919</v>
      </c>
      <c r="AP44" s="9" t="s">
        <v>919</v>
      </c>
      <c r="AQ44" s="9" t="s">
        <v>920</v>
      </c>
      <c r="AR44" s="9" t="s">
        <v>921</v>
      </c>
      <c r="AS44" s="9" t="s">
        <v>922</v>
      </c>
      <c r="AT44" s="18">
        <v>0.32500000000000001</v>
      </c>
      <c r="AU44" s="18">
        <v>0.32500000000000001</v>
      </c>
      <c r="AV44" s="9" t="s">
        <v>923</v>
      </c>
      <c r="AW44" s="9">
        <v>106</v>
      </c>
      <c r="AX44" s="9">
        <v>0</v>
      </c>
      <c r="AY44" s="18">
        <v>0.45660000000000001</v>
      </c>
      <c r="AZ44" s="18">
        <v>0.45660000000000001</v>
      </c>
      <c r="BA44" s="9" t="s">
        <v>907</v>
      </c>
      <c r="BB44" s="9">
        <v>14</v>
      </c>
      <c r="BC44" s="18" t="s">
        <v>924</v>
      </c>
      <c r="BD44" s="9" t="s">
        <v>925</v>
      </c>
      <c r="BE44" s="11" t="s">
        <v>926</v>
      </c>
      <c r="BF44" s="19">
        <v>0.91</v>
      </c>
      <c r="BG44" s="9" t="s">
        <v>98</v>
      </c>
      <c r="BH44" s="9" t="s">
        <v>927</v>
      </c>
      <c r="BI44" s="9">
        <v>1030.74</v>
      </c>
      <c r="BJ44" s="9" t="s">
        <v>928</v>
      </c>
      <c r="BK44" s="9" t="s">
        <v>867</v>
      </c>
      <c r="BQ44" s="9" t="s">
        <v>134</v>
      </c>
    </row>
    <row r="45" spans="1:69">
      <c r="A45" s="10">
        <v>416</v>
      </c>
      <c r="B45" s="11" t="s">
        <v>663</v>
      </c>
      <c r="C45" s="9" t="s">
        <v>951</v>
      </c>
      <c r="D45" s="12" t="str">
        <f t="shared" si="0"/>
        <v>416 維特魯威</v>
      </c>
      <c r="E45" s="12" t="s">
        <v>952</v>
      </c>
      <c r="F45" s="20" t="s">
        <v>953</v>
      </c>
      <c r="G45" s="19">
        <v>31.65</v>
      </c>
      <c r="H45" s="9" t="s">
        <v>954</v>
      </c>
      <c r="I45" s="19">
        <v>38.68</v>
      </c>
      <c r="J45" s="19">
        <v>27.48</v>
      </c>
      <c r="P45" s="15" t="s">
        <v>955</v>
      </c>
      <c r="Q45" s="15">
        <v>37.799999999999997</v>
      </c>
      <c r="R45" s="15">
        <v>45.5</v>
      </c>
      <c r="T45" s="15">
        <f t="shared" si="4"/>
        <v>41.65</v>
      </c>
      <c r="AC45" s="9" t="s">
        <v>77</v>
      </c>
      <c r="AD45" s="9" t="s">
        <v>956</v>
      </c>
      <c r="AE45" s="10">
        <v>2024</v>
      </c>
      <c r="AF45" s="9" t="s">
        <v>957</v>
      </c>
      <c r="AG45" s="9" t="s">
        <v>80</v>
      </c>
      <c r="AH45" s="9" t="s">
        <v>958</v>
      </c>
      <c r="AI45" s="9" t="s">
        <v>258</v>
      </c>
      <c r="AJ45" s="9" t="s">
        <v>83</v>
      </c>
      <c r="AK45" s="9" t="s">
        <v>259</v>
      </c>
      <c r="AL45" s="9" t="s">
        <v>959</v>
      </c>
      <c r="AM45" s="9" t="s">
        <v>960</v>
      </c>
      <c r="AN45" s="9" t="s">
        <v>961</v>
      </c>
      <c r="AO45" s="9" t="s">
        <v>962</v>
      </c>
      <c r="AP45" s="9" t="s">
        <v>962</v>
      </c>
      <c r="AQ45" s="9" t="s">
        <v>963</v>
      </c>
      <c r="AR45" s="9" t="s">
        <v>964</v>
      </c>
      <c r="AT45" s="18">
        <v>0.33400000000000002</v>
      </c>
      <c r="AU45" s="18">
        <v>0.33400000000000002</v>
      </c>
      <c r="AV45" s="9" t="s">
        <v>965</v>
      </c>
      <c r="AW45" s="9">
        <v>123</v>
      </c>
      <c r="AX45" s="9">
        <v>3</v>
      </c>
      <c r="AY45" s="18">
        <v>0.37569999999999998</v>
      </c>
      <c r="AZ45" s="18">
        <v>0.37569999999999998</v>
      </c>
      <c r="BA45" s="9" t="s">
        <v>966</v>
      </c>
      <c r="BB45" s="9">
        <v>28</v>
      </c>
      <c r="BC45" s="9" t="s">
        <v>967</v>
      </c>
      <c r="BD45" s="9" t="s">
        <v>968</v>
      </c>
      <c r="BE45" s="11" t="s">
        <v>969</v>
      </c>
      <c r="BF45" s="19">
        <v>1.02</v>
      </c>
      <c r="BG45" s="9" t="s">
        <v>271</v>
      </c>
      <c r="BH45" s="9" t="s">
        <v>970</v>
      </c>
      <c r="BI45" s="19">
        <v>586.6</v>
      </c>
      <c r="BJ45" s="9" t="s">
        <v>100</v>
      </c>
      <c r="BK45" s="9" t="s">
        <v>414</v>
      </c>
      <c r="BN45" s="9" t="s">
        <v>971</v>
      </c>
      <c r="BO45" s="9" t="s">
        <v>369</v>
      </c>
      <c r="BQ45" s="9" t="s">
        <v>134</v>
      </c>
    </row>
    <row r="46" spans="1:69">
      <c r="A46" s="10">
        <v>417</v>
      </c>
      <c r="B46" s="11" t="s">
        <v>663</v>
      </c>
      <c r="C46" s="9" t="s">
        <v>972</v>
      </c>
      <c r="D46" s="12" t="str">
        <f t="shared" si="0"/>
        <v>417 頤昌澄岳</v>
      </c>
      <c r="E46" s="9" t="s">
        <v>973</v>
      </c>
      <c r="F46" s="20" t="s">
        <v>974</v>
      </c>
      <c r="H46" s="22">
        <v>25.41</v>
      </c>
      <c r="I46" s="19">
        <v>25.92</v>
      </c>
      <c r="J46" s="19">
        <v>25.06</v>
      </c>
      <c r="P46" s="15" t="s">
        <v>975</v>
      </c>
      <c r="Q46" s="15">
        <v>39</v>
      </c>
      <c r="R46" s="15">
        <v>40</v>
      </c>
      <c r="T46" s="15">
        <f t="shared" si="4"/>
        <v>39.5</v>
      </c>
      <c r="Y46" s="9" t="s">
        <v>976</v>
      </c>
      <c r="Z46" s="16">
        <v>175</v>
      </c>
      <c r="AA46" s="16">
        <v>210</v>
      </c>
      <c r="AC46" s="9" t="s">
        <v>77</v>
      </c>
      <c r="AD46" s="9" t="s">
        <v>650</v>
      </c>
      <c r="AE46" s="10">
        <v>2024</v>
      </c>
      <c r="AF46" s="9" t="s">
        <v>651</v>
      </c>
      <c r="AG46" s="9" t="s">
        <v>80</v>
      </c>
      <c r="AH46" s="9" t="s">
        <v>977</v>
      </c>
      <c r="AI46" s="9" t="s">
        <v>258</v>
      </c>
      <c r="AJ46" s="9" t="s">
        <v>83</v>
      </c>
      <c r="AK46" s="9" t="s">
        <v>259</v>
      </c>
      <c r="AL46" s="9" t="s">
        <v>978</v>
      </c>
      <c r="AM46" s="9" t="s">
        <v>979</v>
      </c>
      <c r="AN46" s="9" t="s">
        <v>808</v>
      </c>
      <c r="AO46" s="9" t="s">
        <v>809</v>
      </c>
      <c r="AP46" s="9" t="s">
        <v>809</v>
      </c>
      <c r="AQ46" s="9" t="s">
        <v>904</v>
      </c>
      <c r="AR46" s="9" t="s">
        <v>361</v>
      </c>
      <c r="AT46" s="18">
        <v>0.33</v>
      </c>
      <c r="AU46" s="18">
        <v>0.33</v>
      </c>
      <c r="AV46" s="9" t="s">
        <v>980</v>
      </c>
      <c r="AW46" s="9">
        <v>140</v>
      </c>
      <c r="AX46" s="9">
        <v>8</v>
      </c>
      <c r="AY46" s="18">
        <v>0.38429999999999997</v>
      </c>
      <c r="AZ46" s="18">
        <v>0.38429999999999997</v>
      </c>
      <c r="BA46" s="9" t="s">
        <v>94</v>
      </c>
      <c r="BB46" s="9">
        <v>15</v>
      </c>
      <c r="BC46" s="9" t="s">
        <v>981</v>
      </c>
      <c r="BD46" s="9" t="s">
        <v>269</v>
      </c>
      <c r="BE46" s="11" t="s">
        <v>982</v>
      </c>
      <c r="BF46" s="19">
        <v>0.97</v>
      </c>
      <c r="BG46" s="9" t="s">
        <v>271</v>
      </c>
      <c r="BH46" s="9" t="s">
        <v>983</v>
      </c>
      <c r="BI46" s="19">
        <v>665.31</v>
      </c>
      <c r="BJ46" s="9" t="s">
        <v>100</v>
      </c>
      <c r="BK46" s="9" t="s">
        <v>367</v>
      </c>
      <c r="BN46" s="9" t="s">
        <v>984</v>
      </c>
      <c r="BO46" s="9" t="s">
        <v>819</v>
      </c>
      <c r="BQ46" s="9" t="s">
        <v>134</v>
      </c>
    </row>
    <row r="47" spans="1:69">
      <c r="A47" s="10">
        <v>418</v>
      </c>
      <c r="B47" s="11" t="s">
        <v>663</v>
      </c>
      <c r="C47" s="9" t="s">
        <v>1123</v>
      </c>
      <c r="D47" s="12" t="str">
        <f t="shared" si="0"/>
        <v>418 玄泰T1</v>
      </c>
      <c r="E47" s="12" t="s">
        <v>1124</v>
      </c>
      <c r="F47" s="20" t="s">
        <v>1125</v>
      </c>
      <c r="G47" s="19">
        <v>27.3</v>
      </c>
      <c r="H47" s="22" t="s">
        <v>1126</v>
      </c>
      <c r="I47" s="19">
        <v>36.26</v>
      </c>
      <c r="J47" s="19">
        <v>21.25</v>
      </c>
      <c r="P47" s="9" t="s">
        <v>1127</v>
      </c>
      <c r="Q47" s="15">
        <v>34</v>
      </c>
      <c r="R47" s="15">
        <v>38</v>
      </c>
      <c r="S47" s="15">
        <v>36</v>
      </c>
      <c r="Y47" s="9" t="s">
        <v>1128</v>
      </c>
      <c r="Z47" s="16">
        <v>160</v>
      </c>
      <c r="AA47" s="16">
        <v>230</v>
      </c>
      <c r="AC47" s="9" t="s">
        <v>77</v>
      </c>
      <c r="AD47" s="9" t="s">
        <v>1129</v>
      </c>
      <c r="AE47" s="10">
        <v>2026</v>
      </c>
      <c r="AF47" s="9" t="s">
        <v>1130</v>
      </c>
      <c r="AG47" s="9" t="s">
        <v>80</v>
      </c>
      <c r="AH47" s="9" t="s">
        <v>1131</v>
      </c>
      <c r="AI47" s="9" t="s">
        <v>258</v>
      </c>
      <c r="AJ47" s="9" t="s">
        <v>83</v>
      </c>
      <c r="AK47" s="9" t="s">
        <v>259</v>
      </c>
      <c r="AL47" s="9" t="s">
        <v>1132</v>
      </c>
      <c r="AM47" s="9" t="s">
        <v>1133</v>
      </c>
      <c r="AN47" s="9" t="s">
        <v>1134</v>
      </c>
      <c r="AO47" s="9" t="s">
        <v>1135</v>
      </c>
      <c r="AP47" s="9" t="s">
        <v>1135</v>
      </c>
      <c r="AQ47" s="9" t="s">
        <v>1136</v>
      </c>
      <c r="AR47" s="9" t="s">
        <v>1137</v>
      </c>
      <c r="AT47" s="18">
        <v>0.33</v>
      </c>
      <c r="AU47" s="18">
        <v>0.33</v>
      </c>
      <c r="AV47" s="9" t="s">
        <v>1138</v>
      </c>
      <c r="AW47" s="9">
        <v>264</v>
      </c>
      <c r="AX47" s="9">
        <v>7</v>
      </c>
      <c r="AY47" s="18">
        <v>0.59189999999999998</v>
      </c>
      <c r="AZ47" s="18">
        <v>0.59189999999999998</v>
      </c>
      <c r="BA47" s="9" t="s">
        <v>1139</v>
      </c>
      <c r="BB47" s="9">
        <v>25</v>
      </c>
      <c r="BC47" s="9" t="s">
        <v>1140</v>
      </c>
      <c r="BD47" s="9" t="s">
        <v>459</v>
      </c>
      <c r="BE47" s="11" t="s">
        <v>155</v>
      </c>
      <c r="BF47" s="19">
        <v>1</v>
      </c>
      <c r="BG47" s="9" t="s">
        <v>271</v>
      </c>
      <c r="BH47" s="9" t="s">
        <v>1141</v>
      </c>
      <c r="BI47" s="19">
        <v>1848.19</v>
      </c>
      <c r="BJ47" s="9" t="s">
        <v>100</v>
      </c>
      <c r="BK47" s="9" t="s">
        <v>414</v>
      </c>
      <c r="BN47" s="9" t="s">
        <v>1142</v>
      </c>
      <c r="BQ47" s="9" t="s">
        <v>134</v>
      </c>
    </row>
    <row r="48" spans="1:69">
      <c r="A48" s="10">
        <v>501</v>
      </c>
      <c r="B48" s="11" t="s">
        <v>985</v>
      </c>
      <c r="C48" s="9" t="s">
        <v>986</v>
      </c>
      <c r="D48" s="12" t="str">
        <f t="shared" si="0"/>
        <v>501 新未來1</v>
      </c>
      <c r="E48" s="12" t="s">
        <v>987</v>
      </c>
      <c r="F48" s="20" t="s">
        <v>988</v>
      </c>
      <c r="G48" s="14">
        <v>34.36</v>
      </c>
      <c r="H48" s="13">
        <v>30.58</v>
      </c>
      <c r="I48" s="14">
        <v>37.549999999999997</v>
      </c>
      <c r="J48" s="14">
        <v>26.75</v>
      </c>
      <c r="K48" s="9" t="s">
        <v>841</v>
      </c>
      <c r="L48" s="15">
        <v>33</v>
      </c>
      <c r="M48" s="15">
        <v>38</v>
      </c>
      <c r="N48" s="15">
        <f>(L48+M48)/2</f>
        <v>35.5</v>
      </c>
      <c r="O48" s="15">
        <f>M48-N48</f>
        <v>2.5</v>
      </c>
      <c r="P48" s="9" t="s">
        <v>841</v>
      </c>
      <c r="Q48" s="15">
        <v>33</v>
      </c>
      <c r="R48" s="15">
        <v>38</v>
      </c>
      <c r="S48" s="15">
        <f>R48-Q48</f>
        <v>5</v>
      </c>
      <c r="T48" s="15">
        <f t="shared" si="4"/>
        <v>35.5</v>
      </c>
      <c r="U48" s="15" t="s">
        <v>138</v>
      </c>
      <c r="V48" s="9" t="s">
        <v>989</v>
      </c>
      <c r="W48" s="9" t="s">
        <v>990</v>
      </c>
      <c r="AB48" s="9" t="s">
        <v>112</v>
      </c>
      <c r="AC48" s="9" t="s">
        <v>898</v>
      </c>
      <c r="AD48" s="9" t="s">
        <v>550</v>
      </c>
      <c r="AE48" s="10">
        <v>2021</v>
      </c>
      <c r="AF48" s="9" t="s">
        <v>212</v>
      </c>
      <c r="AG48" s="9" t="s">
        <v>80</v>
      </c>
      <c r="AH48" s="9" t="s">
        <v>991</v>
      </c>
      <c r="AI48" s="9" t="s">
        <v>258</v>
      </c>
      <c r="AJ48" s="9" t="s">
        <v>83</v>
      </c>
      <c r="AK48" s="9" t="s">
        <v>117</v>
      </c>
      <c r="AL48" s="9" t="s">
        <v>828</v>
      </c>
      <c r="AM48" s="9" t="s">
        <v>828</v>
      </c>
      <c r="AN48" s="9" t="s">
        <v>829</v>
      </c>
      <c r="AO48" s="9" t="s">
        <v>830</v>
      </c>
      <c r="AP48" s="9" t="s">
        <v>830</v>
      </c>
      <c r="AQ48" s="9" t="s">
        <v>992</v>
      </c>
      <c r="AR48" s="9" t="s">
        <v>993</v>
      </c>
      <c r="AS48" s="9" t="s">
        <v>617</v>
      </c>
      <c r="AT48" s="17">
        <v>0.33</v>
      </c>
      <c r="AU48" s="18">
        <v>0.33</v>
      </c>
      <c r="AV48" s="9" t="s">
        <v>994</v>
      </c>
      <c r="AW48" s="9">
        <v>807</v>
      </c>
      <c r="AX48" s="9">
        <v>14</v>
      </c>
      <c r="AY48" s="18">
        <v>0.57020000000000004</v>
      </c>
      <c r="AZ48" s="18">
        <v>0.57020000000000004</v>
      </c>
      <c r="BA48" s="9" t="s">
        <v>966</v>
      </c>
      <c r="BB48" s="9">
        <v>28</v>
      </c>
      <c r="BC48" s="9" t="s">
        <v>995</v>
      </c>
      <c r="BD48" s="9" t="s">
        <v>968</v>
      </c>
      <c r="BE48" s="11" t="s">
        <v>996</v>
      </c>
      <c r="BF48" s="19">
        <v>0.89</v>
      </c>
      <c r="BG48" s="9" t="s">
        <v>98</v>
      </c>
      <c r="BH48" s="9" t="s">
        <v>997</v>
      </c>
      <c r="BI48" s="9">
        <v>2890</v>
      </c>
      <c r="BJ48" s="9" t="s">
        <v>100</v>
      </c>
      <c r="BK48" s="9" t="s">
        <v>461</v>
      </c>
      <c r="BL48" s="9" t="s">
        <v>102</v>
      </c>
      <c r="BM48" s="9" t="s">
        <v>102</v>
      </c>
      <c r="BN48" s="9" t="s">
        <v>998</v>
      </c>
      <c r="BO48" s="9" t="s">
        <v>999</v>
      </c>
      <c r="BP48" s="9" t="s">
        <v>102</v>
      </c>
      <c r="BQ48" s="9" t="s">
        <v>1000</v>
      </c>
    </row>
    <row r="49" spans="1:69" ht="16">
      <c r="A49" s="10">
        <v>502</v>
      </c>
      <c r="B49" s="11" t="s">
        <v>985</v>
      </c>
      <c r="C49" s="23" t="s">
        <v>1001</v>
      </c>
      <c r="D49" s="12" t="str">
        <f t="shared" si="0"/>
        <v>502 富宇天匯</v>
      </c>
      <c r="E49" s="12" t="s">
        <v>1002</v>
      </c>
      <c r="F49" s="20" t="s">
        <v>1003</v>
      </c>
      <c r="G49" s="21"/>
      <c r="H49" s="22"/>
      <c r="I49" s="21"/>
      <c r="J49" s="21"/>
      <c r="K49" s="9" t="s">
        <v>1004</v>
      </c>
      <c r="L49" s="15">
        <v>39</v>
      </c>
      <c r="M49" s="15">
        <v>43</v>
      </c>
      <c r="N49" s="15">
        <f>(L49+M49)/2</f>
        <v>41</v>
      </c>
      <c r="O49" s="15">
        <f>M49-N49</f>
        <v>2</v>
      </c>
      <c r="P49" s="9" t="s">
        <v>1005</v>
      </c>
      <c r="Q49" s="15">
        <v>45</v>
      </c>
      <c r="R49" s="15">
        <v>50</v>
      </c>
      <c r="S49" s="15">
        <f>R49-Q49</f>
        <v>5</v>
      </c>
      <c r="T49" s="15">
        <f t="shared" si="4"/>
        <v>47.5</v>
      </c>
      <c r="Y49" s="9" t="s">
        <v>1006</v>
      </c>
      <c r="Z49" s="16">
        <v>160</v>
      </c>
      <c r="AA49" s="16">
        <v>205</v>
      </c>
      <c r="AB49" s="9" t="s">
        <v>112</v>
      </c>
      <c r="AC49" s="9" t="s">
        <v>77</v>
      </c>
      <c r="AD49" s="9" t="s">
        <v>1007</v>
      </c>
      <c r="AE49" s="10">
        <v>2023</v>
      </c>
      <c r="AF49" s="9" t="s">
        <v>1008</v>
      </c>
      <c r="AG49" s="9" t="s">
        <v>80</v>
      </c>
      <c r="AH49" s="9" t="s">
        <v>1009</v>
      </c>
      <c r="AI49" s="9" t="s">
        <v>258</v>
      </c>
      <c r="AJ49" s="9" t="s">
        <v>83</v>
      </c>
      <c r="AK49" s="9" t="s">
        <v>117</v>
      </c>
      <c r="AL49" s="9" t="s">
        <v>1010</v>
      </c>
      <c r="AM49" s="9" t="s">
        <v>1011</v>
      </c>
      <c r="AN49" s="9" t="s">
        <v>1012</v>
      </c>
      <c r="AO49" s="9" t="s">
        <v>1013</v>
      </c>
      <c r="AP49" s="9" t="s">
        <v>289</v>
      </c>
      <c r="AQ49" s="9" t="s">
        <v>1014</v>
      </c>
      <c r="AR49" s="9" t="s">
        <v>1015</v>
      </c>
      <c r="AS49" s="9" t="s">
        <v>617</v>
      </c>
      <c r="AT49" s="18">
        <v>0.33500000000000002</v>
      </c>
      <c r="AU49" s="18">
        <v>0.33500000000000002</v>
      </c>
      <c r="AV49" s="9" t="s">
        <v>1016</v>
      </c>
      <c r="AW49" s="9">
        <v>266</v>
      </c>
      <c r="AX49" s="9">
        <v>4</v>
      </c>
      <c r="AY49" s="18">
        <v>0.49540000000000001</v>
      </c>
      <c r="AZ49" s="18">
        <v>0.49540000000000001</v>
      </c>
      <c r="BA49" s="9" t="s">
        <v>94</v>
      </c>
      <c r="BB49" s="9">
        <v>15</v>
      </c>
      <c r="BC49" s="18" t="s">
        <v>1017</v>
      </c>
      <c r="BD49" s="9" t="s">
        <v>925</v>
      </c>
      <c r="BE49" s="11" t="s">
        <v>1018</v>
      </c>
      <c r="BF49" s="19">
        <v>1.03</v>
      </c>
      <c r="BG49" s="9" t="s">
        <v>98</v>
      </c>
      <c r="BH49" s="9" t="s">
        <v>1019</v>
      </c>
      <c r="BI49" s="9">
        <v>1471.38</v>
      </c>
      <c r="BJ49" s="9" t="s">
        <v>100</v>
      </c>
      <c r="BK49" s="9" t="s">
        <v>817</v>
      </c>
      <c r="BL49" s="9" t="s">
        <v>102</v>
      </c>
      <c r="BM49" s="9" t="s">
        <v>102</v>
      </c>
      <c r="BN49" s="9" t="s">
        <v>1020</v>
      </c>
      <c r="BO49" s="9" t="s">
        <v>1021</v>
      </c>
      <c r="BP49" s="9" t="s">
        <v>102</v>
      </c>
      <c r="BQ49" s="9" t="s">
        <v>1000</v>
      </c>
    </row>
    <row r="50" spans="1:69">
      <c r="A50" s="10">
        <v>503</v>
      </c>
      <c r="B50" s="11" t="s">
        <v>985</v>
      </c>
      <c r="C50" s="9" t="s">
        <v>1022</v>
      </c>
      <c r="D50" s="12" t="str">
        <f t="shared" si="0"/>
        <v>503 竹城明治</v>
      </c>
      <c r="E50" s="12" t="s">
        <v>1023</v>
      </c>
      <c r="F50" s="13" t="s">
        <v>1024</v>
      </c>
      <c r="G50" s="14">
        <v>26.56</v>
      </c>
      <c r="H50" s="13">
        <v>26.09</v>
      </c>
      <c r="I50" s="14">
        <v>33.130000000000003</v>
      </c>
      <c r="J50" s="14">
        <v>22.2</v>
      </c>
      <c r="K50" s="9" t="s">
        <v>1025</v>
      </c>
      <c r="L50" s="15">
        <v>28</v>
      </c>
      <c r="M50" s="15">
        <v>30</v>
      </c>
      <c r="N50" s="15">
        <f>(L50+M50)/2</f>
        <v>29</v>
      </c>
      <c r="O50" s="15">
        <f>M50-N50</f>
        <v>1</v>
      </c>
      <c r="P50" s="9" t="s">
        <v>1025</v>
      </c>
      <c r="Q50" s="15">
        <v>28</v>
      </c>
      <c r="R50" s="15">
        <v>30</v>
      </c>
      <c r="S50" s="15">
        <f>R50-Q50</f>
        <v>2</v>
      </c>
      <c r="T50" s="15">
        <f t="shared" si="4"/>
        <v>29</v>
      </c>
      <c r="U50" s="15" t="s">
        <v>138</v>
      </c>
      <c r="AB50" s="9" t="s">
        <v>112</v>
      </c>
      <c r="AC50" s="9" t="s">
        <v>77</v>
      </c>
      <c r="AD50" s="9" t="s">
        <v>143</v>
      </c>
      <c r="AE50" s="10">
        <v>2020</v>
      </c>
      <c r="AF50" s="9" t="s">
        <v>1026</v>
      </c>
      <c r="AG50" s="9" t="s">
        <v>80</v>
      </c>
      <c r="AH50" s="9" t="s">
        <v>1027</v>
      </c>
      <c r="AI50" s="9" t="s">
        <v>146</v>
      </c>
      <c r="AJ50" s="9" t="s">
        <v>83</v>
      </c>
      <c r="AK50" s="9" t="s">
        <v>117</v>
      </c>
      <c r="AL50" s="9" t="s">
        <v>1028</v>
      </c>
      <c r="AM50" s="9" t="s">
        <v>1029</v>
      </c>
      <c r="AN50" s="9" t="s">
        <v>674</v>
      </c>
      <c r="AO50" s="9" t="s">
        <v>675</v>
      </c>
      <c r="AP50" s="9" t="s">
        <v>675</v>
      </c>
      <c r="AQ50" s="9" t="s">
        <v>676</v>
      </c>
      <c r="AR50" s="9" t="s">
        <v>1030</v>
      </c>
      <c r="AS50" s="9" t="s">
        <v>173</v>
      </c>
      <c r="AT50" s="17">
        <v>0.32</v>
      </c>
      <c r="AU50" s="18">
        <v>0.32</v>
      </c>
      <c r="AV50" s="9" t="s">
        <v>1031</v>
      </c>
      <c r="AW50" s="9">
        <v>168</v>
      </c>
      <c r="AX50" s="9">
        <v>5</v>
      </c>
      <c r="AY50" s="9" t="s">
        <v>1032</v>
      </c>
      <c r="AZ50" s="18">
        <v>0.4556</v>
      </c>
      <c r="BA50" s="9" t="s">
        <v>1033</v>
      </c>
      <c r="BB50" s="9">
        <v>13</v>
      </c>
      <c r="BC50" s="9" t="s">
        <v>1034</v>
      </c>
      <c r="BD50" s="9" t="s">
        <v>96</v>
      </c>
      <c r="BE50" s="11" t="s">
        <v>581</v>
      </c>
      <c r="BF50" s="19">
        <v>0.86</v>
      </c>
      <c r="BG50" s="9" t="s">
        <v>98</v>
      </c>
      <c r="BH50" s="9" t="s">
        <v>1035</v>
      </c>
      <c r="BI50" s="9">
        <v>961.25</v>
      </c>
      <c r="BJ50" s="9" t="s">
        <v>100</v>
      </c>
      <c r="BK50" s="9" t="s">
        <v>867</v>
      </c>
      <c r="BL50" s="9" t="s">
        <v>102</v>
      </c>
      <c r="BM50" s="9" t="s">
        <v>102</v>
      </c>
      <c r="BN50" s="9" t="s">
        <v>1036</v>
      </c>
      <c r="BO50" s="9" t="s">
        <v>584</v>
      </c>
      <c r="BP50" s="9" t="s">
        <v>1037</v>
      </c>
      <c r="BQ50" s="9" t="s">
        <v>1000</v>
      </c>
    </row>
    <row r="51" spans="1:69" ht="19">
      <c r="A51" s="10">
        <v>504</v>
      </c>
      <c r="B51" s="11" t="s">
        <v>985</v>
      </c>
      <c r="C51" s="9" t="s">
        <v>1038</v>
      </c>
      <c r="D51" s="12" t="str">
        <f t="shared" si="0"/>
        <v>504 竹城宇治</v>
      </c>
      <c r="E51" s="12" t="s">
        <v>1039</v>
      </c>
      <c r="F51" s="13" t="s">
        <v>1040</v>
      </c>
      <c r="G51" s="14"/>
      <c r="H51" s="13">
        <v>24.13</v>
      </c>
      <c r="I51" s="14">
        <v>29.39</v>
      </c>
      <c r="J51" s="14">
        <v>22.11</v>
      </c>
      <c r="K51" s="9" t="s">
        <v>1041</v>
      </c>
      <c r="L51" s="15">
        <v>30</v>
      </c>
      <c r="M51" s="15">
        <v>30</v>
      </c>
      <c r="N51" s="15">
        <f>(L51+M51)/2</f>
        <v>30</v>
      </c>
      <c r="O51" s="15">
        <f>M51-N51</f>
        <v>0</v>
      </c>
      <c r="P51" s="9" t="s">
        <v>1041</v>
      </c>
      <c r="Q51" s="15">
        <v>30</v>
      </c>
      <c r="R51" s="15">
        <v>30</v>
      </c>
      <c r="S51" s="15">
        <f>R51-Q51</f>
        <v>0</v>
      </c>
      <c r="T51" s="15">
        <f t="shared" si="4"/>
        <v>30</v>
      </c>
      <c r="U51" s="15" t="s">
        <v>138</v>
      </c>
      <c r="Y51" s="9" t="s">
        <v>1042</v>
      </c>
      <c r="Z51" s="16">
        <v>170</v>
      </c>
      <c r="AA51" s="16">
        <v>185</v>
      </c>
      <c r="AB51" s="9" t="s">
        <v>112</v>
      </c>
      <c r="AC51" s="9" t="s">
        <v>898</v>
      </c>
      <c r="AD51" s="9" t="s">
        <v>143</v>
      </c>
      <c r="AE51" s="10">
        <v>2019</v>
      </c>
      <c r="AF51" s="9" t="s">
        <v>144</v>
      </c>
      <c r="AG51" s="9" t="s">
        <v>80</v>
      </c>
      <c r="AH51" s="9" t="s">
        <v>1043</v>
      </c>
      <c r="AI51" s="9" t="s">
        <v>146</v>
      </c>
      <c r="AJ51" s="9" t="s">
        <v>83</v>
      </c>
      <c r="AK51" s="9" t="s">
        <v>117</v>
      </c>
      <c r="AL51" s="9" t="s">
        <v>1044</v>
      </c>
      <c r="AM51" s="9" t="s">
        <v>1044</v>
      </c>
      <c r="AN51" s="9" t="s">
        <v>1045</v>
      </c>
      <c r="AO51" s="9" t="s">
        <v>675</v>
      </c>
      <c r="AP51" s="9" t="s">
        <v>675</v>
      </c>
      <c r="AQ51" s="9" t="s">
        <v>1046</v>
      </c>
      <c r="AR51" s="9" t="s">
        <v>1045</v>
      </c>
      <c r="AS51" s="9" t="s">
        <v>1047</v>
      </c>
      <c r="AT51" s="18">
        <v>0.315</v>
      </c>
      <c r="AU51" s="18">
        <v>0.315</v>
      </c>
      <c r="AV51" s="9" t="s">
        <v>1048</v>
      </c>
      <c r="AW51" s="9">
        <v>103</v>
      </c>
      <c r="AX51" s="9">
        <v>6</v>
      </c>
      <c r="AY51" s="18">
        <v>0.45700000000000002</v>
      </c>
      <c r="AZ51" s="18">
        <v>0.45700000000000002</v>
      </c>
      <c r="BA51" s="9" t="s">
        <v>1049</v>
      </c>
      <c r="BB51" s="9">
        <v>13</v>
      </c>
      <c r="BC51" s="18" t="s">
        <v>1050</v>
      </c>
      <c r="BD51" s="9" t="s">
        <v>459</v>
      </c>
      <c r="BE51" s="11" t="s">
        <v>1051</v>
      </c>
      <c r="BF51" s="19">
        <v>0.75</v>
      </c>
      <c r="BG51" s="9" t="s">
        <v>98</v>
      </c>
      <c r="BH51" s="9" t="s">
        <v>1052</v>
      </c>
      <c r="BI51" s="9">
        <v>638.13</v>
      </c>
      <c r="BJ51" s="9" t="s">
        <v>100</v>
      </c>
      <c r="BK51" s="9" t="s">
        <v>867</v>
      </c>
      <c r="BN51" s="27" t="s">
        <v>1053</v>
      </c>
      <c r="BO51" s="9" t="s">
        <v>1021</v>
      </c>
      <c r="BP51" s="9" t="s">
        <v>1054</v>
      </c>
      <c r="BQ51" s="9" t="s">
        <v>1000</v>
      </c>
    </row>
    <row r="52" spans="1:69">
      <c r="A52" s="10">
        <v>505</v>
      </c>
      <c r="B52" s="11" t="s">
        <v>985</v>
      </c>
      <c r="C52" s="9" t="s">
        <v>1055</v>
      </c>
      <c r="D52" s="12" t="str">
        <f t="shared" si="0"/>
        <v>505 櫻花澍</v>
      </c>
      <c r="E52" s="12" t="s">
        <v>1056</v>
      </c>
      <c r="F52" s="20" t="s">
        <v>1057</v>
      </c>
      <c r="G52" s="21">
        <v>26.2</v>
      </c>
      <c r="H52" s="22">
        <v>26.09</v>
      </c>
      <c r="I52" s="21">
        <v>28.35</v>
      </c>
      <c r="J52" s="21">
        <v>24.04</v>
      </c>
      <c r="K52" s="9" t="s">
        <v>1058</v>
      </c>
      <c r="L52" s="15">
        <v>28</v>
      </c>
      <c r="M52" s="15">
        <v>32</v>
      </c>
      <c r="N52" s="15">
        <f>(L52+M52)/2</f>
        <v>30</v>
      </c>
      <c r="O52" s="15">
        <f>M52-N52</f>
        <v>2</v>
      </c>
      <c r="P52" s="9" t="s">
        <v>1058</v>
      </c>
      <c r="Q52" s="15">
        <v>28</v>
      </c>
      <c r="R52" s="15">
        <v>32</v>
      </c>
      <c r="S52" s="15">
        <f>R52-Q52</f>
        <v>4</v>
      </c>
      <c r="T52" s="15">
        <f t="shared" si="4"/>
        <v>30</v>
      </c>
      <c r="U52" s="15" t="s">
        <v>138</v>
      </c>
      <c r="V52" s="9" t="s">
        <v>1059</v>
      </c>
      <c r="W52" s="20" t="s">
        <v>1060</v>
      </c>
      <c r="Y52" s="9" t="s">
        <v>1061</v>
      </c>
      <c r="Z52" s="16">
        <v>165</v>
      </c>
      <c r="AA52" s="16">
        <v>195</v>
      </c>
      <c r="AB52" s="9" t="s">
        <v>112</v>
      </c>
      <c r="AC52" s="9" t="s">
        <v>898</v>
      </c>
      <c r="AD52" s="9" t="s">
        <v>752</v>
      </c>
      <c r="AE52" s="10">
        <v>2022</v>
      </c>
      <c r="AF52" s="9" t="s">
        <v>79</v>
      </c>
      <c r="AG52" s="9" t="s">
        <v>80</v>
      </c>
      <c r="AH52" s="9" t="s">
        <v>1062</v>
      </c>
      <c r="AI52" s="9" t="s">
        <v>258</v>
      </c>
      <c r="AJ52" s="9" t="s">
        <v>83</v>
      </c>
      <c r="AK52" s="9" t="s">
        <v>117</v>
      </c>
      <c r="AL52" s="9" t="s">
        <v>1063</v>
      </c>
      <c r="AM52" s="9" t="s">
        <v>1064</v>
      </c>
      <c r="AN52" s="9" t="s">
        <v>1065</v>
      </c>
      <c r="AO52" s="9" t="s">
        <v>1066</v>
      </c>
      <c r="AP52" s="9" t="s">
        <v>1066</v>
      </c>
      <c r="AQ52" s="9" t="s">
        <v>90</v>
      </c>
      <c r="AR52" s="9" t="s">
        <v>1067</v>
      </c>
      <c r="AS52" s="9" t="s">
        <v>1068</v>
      </c>
      <c r="AT52" s="17">
        <v>0.32</v>
      </c>
      <c r="AU52" s="18">
        <v>0.32</v>
      </c>
      <c r="AV52" s="9" t="s">
        <v>1069</v>
      </c>
      <c r="AW52" s="9">
        <v>106</v>
      </c>
      <c r="AX52" s="9">
        <v>2</v>
      </c>
      <c r="AY52" s="18">
        <v>0.38140000000000002</v>
      </c>
      <c r="AZ52" s="18">
        <v>0.38140000000000002</v>
      </c>
      <c r="BA52" s="9" t="s">
        <v>907</v>
      </c>
      <c r="BB52" s="9">
        <v>14</v>
      </c>
      <c r="BC52" s="9" t="s">
        <v>1070</v>
      </c>
      <c r="BD52" s="9" t="s">
        <v>1071</v>
      </c>
      <c r="BE52" s="11" t="s">
        <v>155</v>
      </c>
      <c r="BF52" s="19">
        <v>1</v>
      </c>
      <c r="BG52" s="9" t="s">
        <v>98</v>
      </c>
      <c r="BH52" s="9" t="s">
        <v>1072</v>
      </c>
      <c r="BI52" s="9">
        <v>602.07000000000005</v>
      </c>
      <c r="BJ52" s="9" t="s">
        <v>100</v>
      </c>
      <c r="BK52" s="9" t="s">
        <v>867</v>
      </c>
      <c r="BM52" s="9" t="s">
        <v>102</v>
      </c>
      <c r="BN52" s="9" t="s">
        <v>1073</v>
      </c>
      <c r="BO52" s="9" t="s">
        <v>764</v>
      </c>
      <c r="BP52" s="9" t="s">
        <v>102</v>
      </c>
      <c r="BQ52" s="9" t="s">
        <v>1000</v>
      </c>
    </row>
    <row r="53" spans="1:69">
      <c r="A53" s="10">
        <v>506</v>
      </c>
      <c r="B53" s="11" t="s">
        <v>985</v>
      </c>
      <c r="C53" s="9" t="s">
        <v>1106</v>
      </c>
      <c r="D53" s="12" t="str">
        <f t="shared" si="0"/>
        <v>506 和煦隆陞</v>
      </c>
      <c r="E53" s="12" t="s">
        <v>1107</v>
      </c>
      <c r="F53" s="20" t="s">
        <v>1108</v>
      </c>
      <c r="G53" s="19">
        <v>32.270000000000003</v>
      </c>
      <c r="H53" s="22">
        <v>28.56</v>
      </c>
      <c r="I53" s="19">
        <v>33.619999999999997</v>
      </c>
      <c r="J53" s="19">
        <v>26.99</v>
      </c>
      <c r="P53" s="9" t="s">
        <v>1109</v>
      </c>
      <c r="T53" s="15">
        <f t="shared" si="4"/>
        <v>0</v>
      </c>
      <c r="AC53" s="9" t="s">
        <v>898</v>
      </c>
      <c r="AD53" s="9" t="s">
        <v>143</v>
      </c>
      <c r="AE53" s="10">
        <v>2021</v>
      </c>
      <c r="AF53" s="9" t="s">
        <v>1110</v>
      </c>
      <c r="AG53" s="9" t="s">
        <v>80</v>
      </c>
      <c r="AH53" s="9" t="s">
        <v>1111</v>
      </c>
      <c r="AI53" s="9" t="s">
        <v>146</v>
      </c>
      <c r="AJ53" s="9" t="s">
        <v>83</v>
      </c>
      <c r="AK53" s="9" t="s">
        <v>259</v>
      </c>
      <c r="AL53" s="9" t="s">
        <v>1112</v>
      </c>
      <c r="AO53" s="9" t="s">
        <v>1113</v>
      </c>
      <c r="AQ53" s="9" t="s">
        <v>1114</v>
      </c>
      <c r="AR53" s="9" t="s">
        <v>1114</v>
      </c>
      <c r="AT53" s="18">
        <v>0.32700000000000001</v>
      </c>
      <c r="AU53" s="18">
        <v>0.32700000000000001</v>
      </c>
      <c r="AV53" s="9" t="s">
        <v>1115</v>
      </c>
      <c r="AW53" s="9">
        <v>22</v>
      </c>
      <c r="AY53" s="18">
        <v>0.5897</v>
      </c>
      <c r="AZ53" s="18">
        <v>0.5897</v>
      </c>
      <c r="BA53" s="9" t="s">
        <v>1116</v>
      </c>
      <c r="BB53" s="9">
        <v>8</v>
      </c>
      <c r="BD53" s="9" t="s">
        <v>1117</v>
      </c>
      <c r="BH53" s="9" t="s">
        <v>1118</v>
      </c>
      <c r="BI53" s="19">
        <v>394.41</v>
      </c>
      <c r="BJ53" s="9" t="s">
        <v>100</v>
      </c>
      <c r="BK53" s="9" t="s">
        <v>867</v>
      </c>
      <c r="BM53" s="9" t="s">
        <v>1119</v>
      </c>
      <c r="BQ53" s="9" t="s">
        <v>1000</v>
      </c>
    </row>
    <row r="54" spans="1:69">
      <c r="A54" s="10">
        <v>511</v>
      </c>
      <c r="B54" s="11" t="s">
        <v>985</v>
      </c>
      <c r="C54" s="9" t="s">
        <v>1074</v>
      </c>
      <c r="D54" s="12" t="str">
        <f t="shared" si="0"/>
        <v>511 遠雄文青</v>
      </c>
      <c r="E54" s="12" t="s">
        <v>1075</v>
      </c>
      <c r="F54" s="20" t="s">
        <v>1076</v>
      </c>
      <c r="G54" s="21">
        <v>22.77</v>
      </c>
      <c r="H54" s="22">
        <v>22.81</v>
      </c>
      <c r="I54" s="21">
        <v>30.56</v>
      </c>
      <c r="J54" s="21">
        <v>11.84</v>
      </c>
      <c r="K54" s="9" t="s">
        <v>1077</v>
      </c>
      <c r="L54" s="15">
        <v>15</v>
      </c>
      <c r="M54" s="15">
        <v>15</v>
      </c>
      <c r="N54" s="15">
        <f>(L54+M54)/2</f>
        <v>15</v>
      </c>
      <c r="O54" s="15">
        <f>M54-N54</f>
        <v>0</v>
      </c>
      <c r="P54" s="9" t="s">
        <v>1077</v>
      </c>
      <c r="Q54" s="15">
        <v>15</v>
      </c>
      <c r="R54" s="15">
        <v>15</v>
      </c>
      <c r="S54" s="15">
        <f>R54-Q54</f>
        <v>0</v>
      </c>
      <c r="T54" s="15">
        <f t="shared" si="4"/>
        <v>15</v>
      </c>
      <c r="U54" s="15" t="s">
        <v>138</v>
      </c>
      <c r="V54" s="9" t="s">
        <v>1078</v>
      </c>
      <c r="W54" s="20" t="s">
        <v>1079</v>
      </c>
      <c r="AB54" s="9" t="s">
        <v>112</v>
      </c>
      <c r="AC54" s="9" t="s">
        <v>898</v>
      </c>
      <c r="AD54" s="9" t="s">
        <v>143</v>
      </c>
      <c r="AE54" s="10">
        <v>2016</v>
      </c>
      <c r="AF54" s="9" t="s">
        <v>1080</v>
      </c>
      <c r="AG54" s="9" t="s">
        <v>80</v>
      </c>
      <c r="AI54" s="9" t="s">
        <v>146</v>
      </c>
      <c r="AJ54" s="9" t="s">
        <v>83</v>
      </c>
      <c r="AK54" s="9" t="s">
        <v>117</v>
      </c>
      <c r="AL54" s="9" t="s">
        <v>1081</v>
      </c>
      <c r="AM54" s="9" t="s">
        <v>1081</v>
      </c>
      <c r="AO54" s="9" t="s">
        <v>830</v>
      </c>
      <c r="AP54" s="9" t="s">
        <v>830</v>
      </c>
      <c r="AW54" s="9">
        <v>1272</v>
      </c>
      <c r="BG54" s="9" t="s">
        <v>98</v>
      </c>
      <c r="BJ54" s="9" t="s">
        <v>100</v>
      </c>
      <c r="BK54" s="9" t="s">
        <v>867</v>
      </c>
      <c r="BQ54" s="9" t="s">
        <v>1000</v>
      </c>
    </row>
    <row r="55" spans="1:69">
      <c r="A55" s="10">
        <v>512</v>
      </c>
      <c r="B55" s="11" t="s">
        <v>985</v>
      </c>
      <c r="C55" s="9" t="s">
        <v>1082</v>
      </c>
      <c r="D55" s="12" t="str">
        <f t="shared" si="0"/>
        <v>512 皇翔歡喜城</v>
      </c>
      <c r="E55" s="12" t="s">
        <v>1083</v>
      </c>
      <c r="F55" s="20" t="s">
        <v>1084</v>
      </c>
      <c r="G55" s="21">
        <v>22.67</v>
      </c>
      <c r="H55" s="22">
        <v>22.7</v>
      </c>
      <c r="I55" s="21">
        <v>28.54</v>
      </c>
      <c r="J55" s="21">
        <v>12.94</v>
      </c>
      <c r="K55" s="9" t="s">
        <v>1085</v>
      </c>
      <c r="L55" s="15">
        <v>15</v>
      </c>
      <c r="M55" s="15">
        <v>15</v>
      </c>
      <c r="N55" s="15">
        <f>(L55+M55)/2</f>
        <v>15</v>
      </c>
      <c r="O55" s="15">
        <f>M55-N55</f>
        <v>0</v>
      </c>
      <c r="P55" s="9" t="s">
        <v>1085</v>
      </c>
      <c r="Q55" s="15">
        <v>15</v>
      </c>
      <c r="R55" s="15">
        <v>15</v>
      </c>
      <c r="S55" s="15">
        <f>R55-Q55</f>
        <v>0</v>
      </c>
      <c r="T55" s="15">
        <f t="shared" si="4"/>
        <v>15</v>
      </c>
      <c r="U55" s="15" t="s">
        <v>138</v>
      </c>
      <c r="V55" s="9" t="s">
        <v>1086</v>
      </c>
      <c r="W55" s="20" t="s">
        <v>1087</v>
      </c>
      <c r="AB55" s="9" t="s">
        <v>112</v>
      </c>
      <c r="AC55" s="9" t="s">
        <v>898</v>
      </c>
      <c r="AD55" s="9" t="s">
        <v>143</v>
      </c>
      <c r="AE55" s="10">
        <v>2016</v>
      </c>
      <c r="AF55" s="9" t="s">
        <v>1080</v>
      </c>
      <c r="AG55" s="9" t="s">
        <v>80</v>
      </c>
      <c r="AI55" s="9" t="s">
        <v>146</v>
      </c>
      <c r="AJ55" s="9" t="s">
        <v>83</v>
      </c>
      <c r="AK55" s="9" t="s">
        <v>117</v>
      </c>
      <c r="AL55" s="9" t="s">
        <v>1088</v>
      </c>
      <c r="AO55" s="9" t="s">
        <v>1089</v>
      </c>
      <c r="AP55" s="9" t="s">
        <v>1089</v>
      </c>
      <c r="AW55" s="9">
        <v>1780</v>
      </c>
      <c r="BG55" s="9" t="s">
        <v>98</v>
      </c>
      <c r="BJ55" s="9" t="s">
        <v>100</v>
      </c>
      <c r="BK55" s="9" t="s">
        <v>867</v>
      </c>
      <c r="BQ55" s="9" t="s">
        <v>1000</v>
      </c>
    </row>
    <row r="56" spans="1:69">
      <c r="A56" s="10">
        <v>513</v>
      </c>
      <c r="B56" s="11" t="s">
        <v>985</v>
      </c>
      <c r="C56" s="9" t="s">
        <v>1090</v>
      </c>
      <c r="D56" s="12" t="str">
        <f t="shared" si="0"/>
        <v>513 名軒快樂家</v>
      </c>
      <c r="E56" s="12" t="s">
        <v>1091</v>
      </c>
      <c r="F56" s="20" t="s">
        <v>1092</v>
      </c>
      <c r="G56" s="21">
        <v>22.41</v>
      </c>
      <c r="H56" s="22">
        <v>22.48</v>
      </c>
      <c r="I56" s="21">
        <v>27.8</v>
      </c>
      <c r="J56" s="21">
        <v>13.62</v>
      </c>
      <c r="K56" s="9" t="s">
        <v>1093</v>
      </c>
      <c r="L56" s="15">
        <v>15</v>
      </c>
      <c r="M56" s="15">
        <v>15</v>
      </c>
      <c r="N56" s="15">
        <f>(L56+M56)/2</f>
        <v>15</v>
      </c>
      <c r="O56" s="15">
        <f>M56-N56</f>
        <v>0</v>
      </c>
      <c r="P56" s="9" t="s">
        <v>1093</v>
      </c>
      <c r="Q56" s="15">
        <v>15</v>
      </c>
      <c r="R56" s="15">
        <v>15</v>
      </c>
      <c r="S56" s="15">
        <f>R56-Q56</f>
        <v>0</v>
      </c>
      <c r="T56" s="15">
        <f t="shared" si="4"/>
        <v>15</v>
      </c>
      <c r="U56" s="15" t="s">
        <v>138</v>
      </c>
      <c r="V56" s="9" t="s">
        <v>1094</v>
      </c>
      <c r="W56" s="20" t="s">
        <v>1095</v>
      </c>
      <c r="AB56" s="9" t="s">
        <v>112</v>
      </c>
      <c r="AC56" s="9" t="s">
        <v>898</v>
      </c>
      <c r="AD56" s="9" t="s">
        <v>143</v>
      </c>
      <c r="AE56" s="10">
        <v>2016</v>
      </c>
      <c r="AF56" s="9" t="s">
        <v>1080</v>
      </c>
      <c r="AG56" s="9" t="s">
        <v>80</v>
      </c>
      <c r="AI56" s="9" t="s">
        <v>146</v>
      </c>
      <c r="AJ56" s="9" t="s">
        <v>83</v>
      </c>
      <c r="AK56" s="9" t="s">
        <v>117</v>
      </c>
      <c r="AL56" s="9" t="s">
        <v>1096</v>
      </c>
      <c r="AO56" s="9" t="s">
        <v>1097</v>
      </c>
      <c r="AP56" s="9" t="s">
        <v>1097</v>
      </c>
      <c r="AW56" s="9">
        <v>514</v>
      </c>
      <c r="BG56" s="9" t="s">
        <v>98</v>
      </c>
      <c r="BJ56" s="9" t="s">
        <v>100</v>
      </c>
      <c r="BK56" s="9" t="s">
        <v>867</v>
      </c>
      <c r="BQ56" s="9" t="s">
        <v>1000</v>
      </c>
    </row>
    <row r="57" spans="1:69">
      <c r="A57" s="10">
        <v>514</v>
      </c>
      <c r="B57" s="11" t="s">
        <v>985</v>
      </c>
      <c r="C57" s="9" t="s">
        <v>1098</v>
      </c>
      <c r="D57" s="12" t="str">
        <f t="shared" si="0"/>
        <v>514 麗寶快樂家</v>
      </c>
      <c r="E57" s="12" t="s">
        <v>1099</v>
      </c>
      <c r="F57" s="20" t="s">
        <v>1100</v>
      </c>
      <c r="G57" s="21">
        <v>22.58</v>
      </c>
      <c r="H57" s="22">
        <v>22.58</v>
      </c>
      <c r="I57" s="21">
        <v>28.38</v>
      </c>
      <c r="J57" s="21">
        <v>14.83</v>
      </c>
      <c r="K57" s="9" t="s">
        <v>1101</v>
      </c>
      <c r="L57" s="15">
        <v>15</v>
      </c>
      <c r="M57" s="15">
        <v>15</v>
      </c>
      <c r="N57" s="15">
        <f>(L57+M57)/2</f>
        <v>15</v>
      </c>
      <c r="O57" s="15">
        <f>M57-N57</f>
        <v>0</v>
      </c>
      <c r="P57" s="9" t="s">
        <v>1101</v>
      </c>
      <c r="Q57" s="15">
        <v>15</v>
      </c>
      <c r="R57" s="15">
        <v>15</v>
      </c>
      <c r="S57" s="15">
        <f>R57-Q57</f>
        <v>0</v>
      </c>
      <c r="T57" s="15">
        <f t="shared" si="4"/>
        <v>15</v>
      </c>
      <c r="U57" s="15" t="s">
        <v>138</v>
      </c>
      <c r="V57" s="9" t="s">
        <v>1102</v>
      </c>
      <c r="W57" s="20" t="s">
        <v>1103</v>
      </c>
      <c r="AB57" s="9" t="s">
        <v>112</v>
      </c>
      <c r="AC57" s="9" t="s">
        <v>898</v>
      </c>
      <c r="AD57" s="9" t="s">
        <v>143</v>
      </c>
      <c r="AE57" s="10">
        <v>2016</v>
      </c>
      <c r="AF57" s="9" t="s">
        <v>1080</v>
      </c>
      <c r="AG57" s="9" t="s">
        <v>80</v>
      </c>
      <c r="AI57" s="9" t="s">
        <v>146</v>
      </c>
      <c r="AJ57" s="9" t="s">
        <v>83</v>
      </c>
      <c r="AK57" s="9" t="s">
        <v>117</v>
      </c>
      <c r="AL57" s="9" t="s">
        <v>1104</v>
      </c>
      <c r="AO57" s="9" t="s">
        <v>1105</v>
      </c>
      <c r="AP57" s="9" t="s">
        <v>1105</v>
      </c>
      <c r="AW57" s="9">
        <v>897</v>
      </c>
      <c r="BG57" s="9" t="s">
        <v>98</v>
      </c>
      <c r="BJ57" s="9" t="s">
        <v>100</v>
      </c>
      <c r="BK57" s="9" t="s">
        <v>867</v>
      </c>
      <c r="BQ57" s="9" t="s">
        <v>1000</v>
      </c>
    </row>
  </sheetData>
  <phoneticPr fontId="2" type="noConversion"/>
  <hyperlinks>
    <hyperlink ref="F31" r:id="rId1" xr:uid="{157ABE99-A2FB-0440-AA30-D18A462E1CFE}"/>
    <hyperlink ref="F14" r:id="rId2" xr:uid="{C1C6F2DA-8C39-4A41-AC5A-8D4042CD82E2}"/>
    <hyperlink ref="F32" r:id="rId3" xr:uid="{14CD224C-D507-8544-B5B0-F9485E7EADD4}"/>
    <hyperlink ref="F8" r:id="rId4" xr:uid="{D6BB588A-0598-5344-A73F-E3B347DF3F28}"/>
    <hyperlink ref="F37" r:id="rId5" xr:uid="{60EC4BA6-2F6F-F04D-B290-240CF8C62322}"/>
    <hyperlink ref="F21" r:id="rId6" xr:uid="{F16D9EB3-F4EC-D945-93DF-08D2A7A3864A}"/>
    <hyperlink ref="F5" r:id="rId7" xr:uid="{F60D9E1E-0792-D246-986A-829271525FCE}"/>
    <hyperlink ref="F23" r:id="rId8" xr:uid="{ED14C2AB-7C33-B243-B44C-CAF64408C1CF}"/>
    <hyperlink ref="F12" r:id="rId9" xr:uid="{F20CCC9D-6612-0D4E-9102-C4FB702EF9F1}"/>
    <hyperlink ref="F41" r:id="rId10" xr:uid="{4A82A7A4-7728-6E4C-85C7-04F3D281CDE8}"/>
    <hyperlink ref="F7" r:id="rId11" xr:uid="{180B2D53-6C80-374E-BD2E-420BCA5A5C3D}"/>
    <hyperlink ref="F33" r:id="rId12" xr:uid="{AB88406E-98AA-164F-B7D1-3CCE4D76ED40}"/>
    <hyperlink ref="F34" r:id="rId13" xr:uid="{F6FD03DD-70CE-9442-8230-9D1E07A842D9}"/>
    <hyperlink ref="F3" r:id="rId14" xr:uid="{565FB8A8-6ABB-8B4C-A4DB-B0F2B8462905}"/>
    <hyperlink ref="F15" r:id="rId15" xr:uid="{5AAADDD7-1BCD-8043-9858-B05D252C83A4}"/>
    <hyperlink ref="F4" r:id="rId16" xr:uid="{CACD3290-657F-3245-ADCF-EA0DCDDF62E7}"/>
    <hyperlink ref="F11" r:id="rId17" xr:uid="{026BD39A-FBA0-F34B-9942-9BA4A9108E5E}"/>
    <hyperlink ref="F19" r:id="rId18" xr:uid="{8D74885C-2D85-A14C-AC9C-F2D3A632DEEF}"/>
    <hyperlink ref="F36" r:id="rId19" xr:uid="{2EF651A1-A5CC-2343-BEF8-9EB02276CE7E}"/>
    <hyperlink ref="F50" r:id="rId20" xr:uid="{10E58388-50CF-C24C-8558-C42CD55D392E}"/>
    <hyperlink ref="F18" r:id="rId21" xr:uid="{317A5C37-B0D1-054D-853E-B45BA54E79E8}"/>
    <hyperlink ref="F10" r:id="rId22" xr:uid="{B8E384B0-1C19-0641-BC64-9B025489BC73}"/>
    <hyperlink ref="F42" r:id="rId23" xr:uid="{0297B810-E8A7-9F4F-A1DF-2DC2FD9CAD58}"/>
    <hyperlink ref="F2" r:id="rId24" xr:uid="{DB7AE95F-1A5B-A947-BB9C-5AFE940F01C6}"/>
    <hyperlink ref="F6" r:id="rId25" xr:uid="{BD32F7E6-14AF-4846-B45A-135801EF66FD}"/>
    <hyperlink ref="F17" r:id="rId26" xr:uid="{17AF1D91-F737-7049-A0B1-8CBE6EAE2731}"/>
    <hyperlink ref="F25" r:id="rId27" xr:uid="{AB1DF39A-79DD-1D49-BB3B-8FCF74E3BB1B}"/>
    <hyperlink ref="F40" r:id="rId28" xr:uid="{7DA58C6F-B4E1-BF4C-B72D-C453F86FF441}"/>
    <hyperlink ref="F39" r:id="rId29" xr:uid="{0CD54E4F-BE3F-394C-92A9-B6263FF7A035}"/>
    <hyperlink ref="F35" r:id="rId30" xr:uid="{CEE458E9-8036-0C42-9F63-FD98A878F938}"/>
    <hyperlink ref="F38" r:id="rId31" xr:uid="{006F8A27-A92E-D64A-A9FE-2AC6CCFEFC8C}"/>
    <hyperlink ref="F48" r:id="rId32" xr:uid="{E69803C2-7C3A-E842-8EC4-F26ABA2F4F71}"/>
    <hyperlink ref="F49" r:id="rId33" xr:uid="{AF8C33CF-BBF6-514E-847C-B813484FDC84}"/>
    <hyperlink ref="F22" r:id="rId34" xr:uid="{2DA563E0-820A-CD40-A478-057112A6CCC6}"/>
    <hyperlink ref="F20" r:id="rId35" xr:uid="{7FB37CA2-257B-E344-9F80-5F46AC0AD669}"/>
    <hyperlink ref="F27" r:id="rId36" xr:uid="{90F02F31-6FE9-1F46-B629-90C007EF11EB}"/>
    <hyperlink ref="F26" r:id="rId37" xr:uid="{38296C72-A454-AD4D-9902-A1D1EAA2E6EF}"/>
    <hyperlink ref="F16" r:id="rId38" xr:uid="{D9971F84-130E-DA4F-986A-340C7B198692}"/>
    <hyperlink ref="F43" r:id="rId39" xr:uid="{869CC27C-6AB3-BD4B-8CB7-40A8854616E6}"/>
    <hyperlink ref="F52" r:id="rId40" xr:uid="{3C036DD2-1C9D-434B-9C1B-3507EF213098}"/>
    <hyperlink ref="F51" r:id="rId41" xr:uid="{A14981B5-E2A6-1147-807C-837523048C67}"/>
    <hyperlink ref="F54" r:id="rId42" xr:uid="{823C3139-E806-2648-A705-7820086C13F0}"/>
    <hyperlink ref="F55" r:id="rId43" xr:uid="{8B45B23E-BED9-0547-98CE-32A6BA4A8D3B}"/>
    <hyperlink ref="F56" r:id="rId44" xr:uid="{B501110A-1321-BA49-9DAE-642323CF3D5C}"/>
    <hyperlink ref="F57" r:id="rId45" xr:uid="{4FB6F175-460F-F747-89C9-C0AC4A9AD4D6}"/>
    <hyperlink ref="F44" r:id="rId46" xr:uid="{0BF335F6-0BCF-0547-AA2E-C7E0E9C4B567}"/>
    <hyperlink ref="W57" r:id="rId47" xr:uid="{E8ECC72D-523F-3B4F-9B29-0CA13FC000F3}"/>
    <hyperlink ref="W56" r:id="rId48" xr:uid="{04763D82-B655-2649-818C-9FF4B81505A5}"/>
    <hyperlink ref="W55" r:id="rId49" xr:uid="{46604610-8566-2347-898E-E47B36CA7BCB}"/>
    <hyperlink ref="W54" r:id="rId50" xr:uid="{11397E5A-8D0F-F049-A6E2-6C2F5F4C70FF}"/>
    <hyperlink ref="W52" r:id="rId51" xr:uid="{E8E161C7-0BBA-534C-8A47-A9C6601E4602}"/>
    <hyperlink ref="W36" r:id="rId52" xr:uid="{9F7D9221-772C-6543-8F5D-64D60B7891D3}"/>
    <hyperlink ref="W32" r:id="rId53" xr:uid="{5D9A1886-872F-1D4C-96A2-38A3D8E221FA}"/>
    <hyperlink ref="W31" r:id="rId54" xr:uid="{0CA654E0-ED3D-CA48-841B-3E4BEF14DCA1}"/>
    <hyperlink ref="W25" r:id="rId55" xr:uid="{BEFF434A-B9DF-5C4D-B92C-D674270C946F}"/>
    <hyperlink ref="W21" r:id="rId56" xr:uid="{16854C3F-E050-C44B-8ABF-C6FD355075A6}"/>
    <hyperlink ref="W20" r:id="rId57" xr:uid="{BAF33518-D0C5-BF43-891E-215C887EE530}"/>
    <hyperlink ref="W14" r:id="rId58" xr:uid="{EBA10D19-AFB6-C644-8D37-D8B122B49974}"/>
    <hyperlink ref="W13" r:id="rId59" xr:uid="{D1E84B04-BC25-A44D-B8B6-F41EF7D6C8A1}"/>
    <hyperlink ref="W8" r:id="rId60" xr:uid="{A79EBC76-44DF-5448-89DE-2F1C9AC4A027}"/>
    <hyperlink ref="W5" r:id="rId61" xr:uid="{4A65B4D8-0647-774B-9E0C-FB30F79CF9C8}"/>
    <hyperlink ref="W4" r:id="rId62" xr:uid="{51CBE6FB-8641-BC48-A116-ED0B9852AF2C}"/>
    <hyperlink ref="F29" r:id="rId63" xr:uid="{AD5F4398-C515-4348-A8F1-C94596F8E999}"/>
    <hyperlink ref="F45" r:id="rId64" xr:uid="{ED4CE85D-0A6F-424B-94F0-E2C03BB9FEF8}"/>
    <hyperlink ref="F46" r:id="rId65" xr:uid="{D02F3456-2CA3-0747-B090-E8157B776FF6}"/>
    <hyperlink ref="F9" r:id="rId66" xr:uid="{8783B552-ADF8-084E-A4AD-9E2666874F7A}"/>
    <hyperlink ref="F53" r:id="rId67" xr:uid="{C5830C64-9ABE-6042-8A7E-E8DF958DD580}"/>
    <hyperlink ref="F47" r:id="rId68" xr:uid="{B2D11C37-9E29-D148-B15B-CC9046040414}"/>
    <hyperlink ref="F30" r:id="rId69" xr:uid="{77D2A093-720A-3047-8CB4-FF8C900FB8B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2022-05-19T19:01:25Z</dcterms:created>
  <dcterms:modified xsi:type="dcterms:W3CDTF">2022-06-05T00:41:49Z</dcterms:modified>
</cp:coreProperties>
</file>