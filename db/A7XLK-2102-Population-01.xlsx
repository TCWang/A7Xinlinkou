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wangtaizhong/Documents/92_WebSite/A7Xinlinkou/db/"/>
    </mc:Choice>
  </mc:AlternateContent>
  <xr:revisionPtr revIDLastSave="0" documentId="13_ncr:1_{0BFFD7AB-F46E-D342-9360-D054D7554EF5}" xr6:coauthVersionLast="47" xr6:coauthVersionMax="47" xr10:uidLastSave="{00000000-0000-0000-0000-000000000000}"/>
  <bookViews>
    <workbookView xWindow="3040" yWindow="2220" windowWidth="23260" windowHeight="15780" activeTab="1" xr2:uid="{00000000-000D-0000-FFFF-FFFF00000000}"/>
  </bookViews>
  <sheets>
    <sheet name="工作表1" sheetId="1" r:id="rId1"/>
    <sheet name="工作表3" sheetId="3" r:id="rId2"/>
    <sheet name="工作表2" sheetId="2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6" i="1" l="1"/>
  <c r="C36" i="1" l="1"/>
  <c r="E36" i="1"/>
  <c r="F36" i="1"/>
  <c r="B36" i="1"/>
</calcChain>
</file>

<file path=xl/sharedStrings.xml><?xml version="1.0" encoding="utf-8"?>
<sst xmlns="http://schemas.openxmlformats.org/spreadsheetml/2006/main" count="123" uniqueCount="50">
  <si>
    <t>里別</t>
  </si>
  <si>
    <t>鄰數</t>
  </si>
  <si>
    <t>戶數</t>
  </si>
  <si>
    <t>總人口數</t>
  </si>
  <si>
    <t>男人口數</t>
  </si>
  <si>
    <t>女人口數</t>
  </si>
  <si>
    <t>楓樹里</t>
  </si>
  <si>
    <t>龜山里</t>
  </si>
  <si>
    <t>兔坑里</t>
  </si>
  <si>
    <t>大同里</t>
  </si>
  <si>
    <t>山福里</t>
  </si>
  <si>
    <t>山頂里</t>
  </si>
  <si>
    <t>陸光里</t>
  </si>
  <si>
    <t>精忠里</t>
  </si>
  <si>
    <t>公西里</t>
  </si>
  <si>
    <t>樂善里</t>
  </si>
  <si>
    <t>南上里</t>
  </si>
  <si>
    <t>大坑里</t>
  </si>
  <si>
    <t>中興里</t>
  </si>
  <si>
    <t>山德里</t>
  </si>
  <si>
    <t>新路里</t>
  </si>
  <si>
    <t>嶺頂里</t>
  </si>
  <si>
    <t>龍壽里</t>
  </si>
  <si>
    <t>舊路里</t>
  </si>
  <si>
    <t>大崗里</t>
  </si>
  <si>
    <t>文化里</t>
  </si>
  <si>
    <t>南美里</t>
  </si>
  <si>
    <t>幸福里</t>
  </si>
  <si>
    <t>福源里</t>
  </si>
  <si>
    <t>龍華里</t>
  </si>
  <si>
    <t>迴龍里</t>
  </si>
  <si>
    <t>新嶺里</t>
  </si>
  <si>
    <t>大湖里</t>
  </si>
  <si>
    <t>大華里</t>
  </si>
  <si>
    <t>長庚里</t>
  </si>
  <si>
    <t>合  計</t>
  </si>
  <si>
    <t>★新興里</t>
    <phoneticPr fontId="1" type="noConversion"/>
  </si>
  <si>
    <t>文青里</t>
    <phoneticPr fontId="1" type="noConversion"/>
  </si>
  <si>
    <t>楓福里</t>
    <phoneticPr fontId="1" type="noConversion"/>
  </si>
  <si>
    <t>★為戶政事務所所在地之里別
◎110.10.1起楓樹里增1鄰，精忠里增2鄰，長庚里增1鄰。</t>
    <phoneticPr fontId="1" type="noConversion"/>
  </si>
  <si>
    <t>111年4月</t>
    <phoneticPr fontId="1" type="noConversion"/>
  </si>
  <si>
    <t>區域</t>
    <phoneticPr fontId="7" type="noConversion"/>
  </si>
  <si>
    <t>上龜山</t>
  </si>
  <si>
    <t>上龜山</t>
    <phoneticPr fontId="7" type="noConversion"/>
  </si>
  <si>
    <t>下龜山</t>
  </si>
  <si>
    <t>下龜山</t>
    <phoneticPr fontId="7" type="noConversion"/>
  </si>
  <si>
    <t>列標籤</t>
  </si>
  <si>
    <t>總計</t>
  </si>
  <si>
    <t>加總 - 總人口數</t>
  </si>
  <si>
    <t>加總 - 戶數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</si>
</sst>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indexed="8"/>
      <name val="微軟正黑體"/>
      <family val="1"/>
      <charset val="136"/>
    </font>
    <font>
      <sz val="14"/>
      <color indexed="8"/>
      <name val="微軟正黑體"/>
      <family val="1"/>
      <charset val="136"/>
    </font>
    <font>
      <b/>
      <sz val="14"/>
      <color indexed="8"/>
      <name val="微軟正黑體"/>
      <family val="1"/>
      <charset val="136"/>
    </font>
    <font>
      <sz val="14"/>
      <color indexed="8"/>
      <name val="微軟正黑體"/>
      <family val="1"/>
      <charset val="136"/>
    </font>
    <font>
      <b/>
      <sz val="16"/>
      <color indexed="8"/>
      <name val="微軟正黑體"/>
      <family val="1"/>
      <charset val="136"/>
    </font>
    <font>
      <sz val="9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5" fillId="2" borderId="1" xfId="0" applyFont="1" applyFill="1" applyBorder="1" applyAlignment="1">
      <alignment horizontal="right" vertical="center" wrapText="1"/>
    </xf>
    <xf numFmtId="0" fontId="3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[A7XLK-2102-Population-01.xlsx]工作表3!樞紐分析表1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r>
              <a:rPr lang="en-US" altLang="zh-TW">
                <a:latin typeface="Kaiti TC" panose="02010600040101010101" pitchFamily="2" charset="-120"/>
                <a:ea typeface="Kaiti TC" panose="02010600040101010101" pitchFamily="2" charset="-120"/>
              </a:rPr>
              <a:t>2022/04</a:t>
            </a:r>
            <a:r>
              <a:rPr lang="en-US" altLang="zh-TW" baseline="0">
                <a:latin typeface="Kaiti TC" panose="02010600040101010101" pitchFamily="2" charset="-120"/>
                <a:ea typeface="Kaiti TC" panose="02010600040101010101" pitchFamily="2" charset="-120"/>
              </a:rPr>
              <a:t> </a:t>
            </a:r>
            <a:r>
              <a:rPr lang="zh-TW" altLang="en-US" baseline="0">
                <a:latin typeface="Kaiti TC" panose="02010600040101010101" pitchFamily="2" charset="-120"/>
                <a:ea typeface="Kaiti TC" panose="02010600040101010101" pitchFamily="2" charset="-120"/>
              </a:rPr>
              <a:t>龜山人口分佈</a:t>
            </a:r>
            <a:endParaRPr lang="zh-TW" altLang="en-US">
              <a:latin typeface="Kaiti TC" panose="02010600040101010101" pitchFamily="2" charset="-120"/>
              <a:ea typeface="Kaiti TC" panose="02010600040101010101" pitchFamily="2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工作表3!$B$3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7B09-B14E-A44F-3C45DB84AA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B09-B14E-A44F-3C45DB84AAE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工作表3!$A$4:$A$6</c:f>
              <c:strCache>
                <c:ptCount val="2"/>
                <c:pt idx="0">
                  <c:v>上龜山</c:v>
                </c:pt>
                <c:pt idx="1">
                  <c:v>下龜山</c:v>
                </c:pt>
              </c:strCache>
            </c:strRef>
          </c:cat>
          <c:val>
            <c:numRef>
              <c:f>工作表3!$B$4:$B$6</c:f>
              <c:numCache>
                <c:formatCode>#,##0_ </c:formatCode>
                <c:ptCount val="2"/>
                <c:pt idx="0">
                  <c:v>72360</c:v>
                </c:pt>
                <c:pt idx="1">
                  <c:v>95697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9-B14E-A44F-3C45DB84AAEF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[A7XLK-2102-Population-01.xlsx]工作表3!樞紐分析表2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>
                <a:latin typeface="Kaiti TC" panose="02010600040101010101" pitchFamily="2" charset="-120"/>
                <a:ea typeface="Kaiti TC" panose="02010600040101010101" pitchFamily="2" charset="-120"/>
              </a:rPr>
              <a:t>2022/04</a:t>
            </a:r>
            <a:r>
              <a:rPr lang="en-US" altLang="zh-TW" baseline="0">
                <a:latin typeface="Kaiti TC" panose="02010600040101010101" pitchFamily="2" charset="-120"/>
                <a:ea typeface="Kaiti TC" panose="02010600040101010101" pitchFamily="2" charset="-120"/>
              </a:rPr>
              <a:t> </a:t>
            </a:r>
            <a:r>
              <a:rPr lang="zh-TW" altLang="en-US" baseline="0">
                <a:latin typeface="Kaiti TC" panose="02010600040101010101" pitchFamily="2" charset="-120"/>
                <a:ea typeface="Kaiti TC" panose="02010600040101010101" pitchFamily="2" charset="-120"/>
              </a:rPr>
              <a:t>龜山人口及戶數</a:t>
            </a:r>
            <a:endParaRPr lang="zh-TW" altLang="en-US">
              <a:latin typeface="Kaiti TC" panose="02010600040101010101" pitchFamily="2" charset="-120"/>
              <a:ea typeface="Kaiti TC" panose="02010600040101010101" pitchFamily="2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工作表3!$C$34</c:f>
              <c:strCache>
                <c:ptCount val="1"/>
                <c:pt idx="0">
                  <c:v>加總 - 總人口數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工作表3!$B$35:$B$37</c:f>
              <c:strCache>
                <c:ptCount val="2"/>
                <c:pt idx="0">
                  <c:v>上龜山</c:v>
                </c:pt>
                <c:pt idx="1">
                  <c:v>下龜山</c:v>
                </c:pt>
              </c:strCache>
            </c:strRef>
          </c:cat>
          <c:val>
            <c:numRef>
              <c:f>工作表3!$C$35:$C$37</c:f>
              <c:numCache>
                <c:formatCode>#,##0_ </c:formatCode>
                <c:ptCount val="2"/>
                <c:pt idx="0">
                  <c:v>72360</c:v>
                </c:pt>
                <c:pt idx="1">
                  <c:v>95697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7-3840-A0FB-185E1BA99D63}"/>
            </c:ext>
          </c:extLst>
        </c:ser>
        <c:ser>
          <c:idx val="1"/>
          <c:order val="1"/>
          <c:tx>
            <c:strRef>
              <c:f>工作表3!$D$34</c:f>
              <c:strCache>
                <c:ptCount val="1"/>
                <c:pt idx="0">
                  <c:v>加總 - 戶數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工作表3!$B$35:$B$37</c:f>
              <c:strCache>
                <c:ptCount val="2"/>
                <c:pt idx="0">
                  <c:v>上龜山</c:v>
                </c:pt>
                <c:pt idx="1">
                  <c:v>下龜山</c:v>
                </c:pt>
              </c:strCache>
            </c:strRef>
          </c:cat>
          <c:val>
            <c:numRef>
              <c:f>工作表3!$D$35:$D$37</c:f>
              <c:numCache>
                <c:formatCode>#,##0_ </c:formatCode>
                <c:ptCount val="2"/>
                <c:pt idx="0">
                  <c:v>31819</c:v>
                </c:pt>
                <c:pt idx="1">
                  <c:v>37718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7-3840-A0FB-185E1BA99D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78291584"/>
        <c:axId val="1678304368"/>
      </c:barChart>
      <c:catAx>
        <c:axId val="167829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endParaRPr lang="zh-TW"/>
          </a:p>
        </c:txPr>
        <c:crossAx val="1678304368"/>
        <c:crosses val="autoZero"/>
        <c:auto val="1"/>
        <c:lblAlgn val="ctr"/>
        <c:lblOffset val="100"/>
        <c:noMultiLvlLbl val="0"/>
      </c:catAx>
      <c:valAx>
        <c:axId val="1678304368"/>
        <c:scaling>
          <c:orientation val="minMax"/>
        </c:scaling>
        <c:delete val="1"/>
        <c:axPos val="l"/>
        <c:numFmt formatCode="#,##0_ " sourceLinked="1"/>
        <c:majorTickMark val="none"/>
        <c:minorTickMark val="none"/>
        <c:tickLblPos val="nextTo"/>
        <c:crossAx val="167829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11</xdr:row>
      <xdr:rowOff>38100</xdr:rowOff>
    </xdr:from>
    <xdr:to>
      <xdr:col>7</xdr:col>
      <xdr:colOff>558800</xdr:colOff>
      <xdr:row>27</xdr:row>
      <xdr:rowOff>127000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87D7C30-6FD8-00DA-B3AB-FB3963EFE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50800</xdr:colOff>
      <xdr:row>31</xdr:row>
      <xdr:rowOff>50800</xdr:rowOff>
    </xdr:from>
    <xdr:to>
      <xdr:col>11</xdr:col>
      <xdr:colOff>304800</xdr:colOff>
      <xdr:row>47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C035CDC-2F69-D00C-18FD-61DB8C4A5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683.856764814816" createdVersion="7" refreshedVersion="7" minRefreshableVersion="3" recordCount="32" xr:uid="{31DB7F1D-79A9-1C47-89CD-2BE2E112338C}">
  <cacheSource type="worksheet">
    <worksheetSource ref="A1:G33" sheet="工作表2"/>
  </cacheSource>
  <cacheFields count="7">
    <cacheField name="里別" numFmtId="0">
      <sharedItems/>
    </cacheField>
    <cacheField name="鄰數" numFmtId="0">
      <sharedItems containsSemiMixedTypes="0" containsString="0" containsNumber="1" containsInteger="1" minValue="14" maxValue="42"/>
    </cacheField>
    <cacheField name="戶數" numFmtId="0">
      <sharedItems containsSemiMixedTypes="0" containsString="0" containsNumber="1" containsInteger="1" minValue="628" maxValue="4862" count="32">
        <n v="1717"/>
        <n v="2963"/>
        <n v="1924"/>
        <n v="2650"/>
        <n v="1455"/>
        <n v="2572"/>
        <n v="1711"/>
        <n v="2627"/>
        <n v="628"/>
        <n v="4199"/>
        <n v="956"/>
        <n v="908"/>
        <n v="2200"/>
        <n v="2150"/>
        <n v="2371"/>
        <n v="1673"/>
        <n v="786"/>
        <n v="1232"/>
        <n v="1898"/>
        <n v="4034"/>
        <n v="1095"/>
        <n v="2378"/>
        <n v="802"/>
        <n v="1594"/>
        <n v="2848"/>
        <n v="1680"/>
        <n v="3063"/>
        <n v="4440"/>
        <n v="2787"/>
        <n v="1861"/>
        <n v="4862"/>
        <n v="1473"/>
      </sharedItems>
    </cacheField>
    <cacheField name="總人口數" numFmtId="0">
      <sharedItems containsSemiMixedTypes="0" containsString="0" containsNumber="1" containsInteger="1" minValue="1466" maxValue="11241" count="32">
        <n v="4777"/>
        <n v="7823"/>
        <n v="5167"/>
        <n v="6965"/>
        <n v="3815"/>
        <n v="6385"/>
        <n v="4067"/>
        <n v="6494"/>
        <n v="1466"/>
        <n v="8722"/>
        <n v="2228"/>
        <n v="2290"/>
        <n v="5496"/>
        <n v="5397"/>
        <n v="6150"/>
        <n v="4651"/>
        <n v="1995"/>
        <n v="2962"/>
        <n v="4965"/>
        <n v="8709"/>
        <n v="2953"/>
        <n v="6214"/>
        <n v="2236"/>
        <n v="3831"/>
        <n v="6830"/>
        <n v="4501"/>
        <n v="6425"/>
        <n v="11241"/>
        <n v="5933"/>
        <n v="3463"/>
        <n v="9689"/>
        <n v="4217"/>
      </sharedItems>
    </cacheField>
    <cacheField name="男人口數" numFmtId="0">
      <sharedItems containsSemiMixedTypes="0" containsString="0" containsNumber="1" containsInteger="1" minValue="733" maxValue="5533"/>
    </cacheField>
    <cacheField name="女人口數" numFmtId="0">
      <sharedItems containsSemiMixedTypes="0" containsString="0" containsNumber="1" containsInteger="1" minValue="733" maxValue="5708"/>
    </cacheField>
    <cacheField name="區域" numFmtId="0">
      <sharedItems count="2">
        <s v="上龜山"/>
        <s v="下龜山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楓樹里"/>
    <n v="25"/>
    <x v="0"/>
    <x v="0"/>
    <n v="2421"/>
    <n v="2356"/>
    <x v="0"/>
  </r>
  <r>
    <s v="龜山里"/>
    <n v="39"/>
    <x v="1"/>
    <x v="1"/>
    <n v="3874"/>
    <n v="3949"/>
    <x v="1"/>
  </r>
  <r>
    <s v="兔坑里"/>
    <n v="29"/>
    <x v="2"/>
    <x v="2"/>
    <n v="2702"/>
    <n v="2465"/>
    <x v="1"/>
  </r>
  <r>
    <s v="大同里"/>
    <n v="34"/>
    <x v="3"/>
    <x v="3"/>
    <n v="3458"/>
    <n v="3507"/>
    <x v="1"/>
  </r>
  <r>
    <s v="山福里"/>
    <n v="19"/>
    <x v="4"/>
    <x v="4"/>
    <n v="1885"/>
    <n v="1930"/>
    <x v="1"/>
  </r>
  <r>
    <s v="山頂里"/>
    <n v="31"/>
    <x v="5"/>
    <x v="5"/>
    <n v="3359"/>
    <n v="3026"/>
    <x v="1"/>
  </r>
  <r>
    <s v="陸光里"/>
    <n v="30"/>
    <x v="6"/>
    <x v="6"/>
    <n v="1970"/>
    <n v="2097"/>
    <x v="1"/>
  </r>
  <r>
    <s v="精忠里"/>
    <n v="35"/>
    <x v="7"/>
    <x v="7"/>
    <n v="3165"/>
    <n v="3329"/>
    <x v="1"/>
  </r>
  <r>
    <s v="公西里"/>
    <n v="14"/>
    <x v="8"/>
    <x v="8"/>
    <n v="733"/>
    <n v="733"/>
    <x v="0"/>
  </r>
  <r>
    <s v="樂善里"/>
    <n v="28"/>
    <x v="9"/>
    <x v="9"/>
    <n v="4306"/>
    <n v="4416"/>
    <x v="0"/>
  </r>
  <r>
    <s v="南上里"/>
    <n v="15"/>
    <x v="10"/>
    <x v="10"/>
    <n v="1123"/>
    <n v="1105"/>
    <x v="0"/>
  </r>
  <r>
    <s v="大坑里"/>
    <n v="18"/>
    <x v="11"/>
    <x v="11"/>
    <n v="1186"/>
    <n v="1104"/>
    <x v="0"/>
  </r>
  <r>
    <s v="中興里"/>
    <n v="32"/>
    <x v="12"/>
    <x v="12"/>
    <n v="2695"/>
    <n v="2801"/>
    <x v="1"/>
  </r>
  <r>
    <s v="山德里"/>
    <n v="34"/>
    <x v="13"/>
    <x v="13"/>
    <n v="2657"/>
    <n v="2740"/>
    <x v="1"/>
  </r>
  <r>
    <s v="新路里"/>
    <n v="42"/>
    <x v="14"/>
    <x v="14"/>
    <n v="3042"/>
    <n v="3108"/>
    <x v="1"/>
  </r>
  <r>
    <s v="嶺頂里"/>
    <n v="30"/>
    <x v="15"/>
    <x v="15"/>
    <n v="2413"/>
    <n v="2238"/>
    <x v="1"/>
  </r>
  <r>
    <s v="龍壽里"/>
    <n v="17"/>
    <x v="16"/>
    <x v="16"/>
    <n v="1030"/>
    <n v="965"/>
    <x v="1"/>
  </r>
  <r>
    <s v="舊路里"/>
    <n v="17"/>
    <x v="17"/>
    <x v="17"/>
    <n v="1491"/>
    <n v="1471"/>
    <x v="0"/>
  </r>
  <r>
    <s v="大崗里"/>
    <n v="26"/>
    <x v="18"/>
    <x v="18"/>
    <n v="2567"/>
    <n v="2398"/>
    <x v="0"/>
  </r>
  <r>
    <s v="文化里"/>
    <n v="33"/>
    <x v="19"/>
    <x v="19"/>
    <n v="4171"/>
    <n v="4538"/>
    <x v="0"/>
  </r>
  <r>
    <s v="南美里"/>
    <n v="14"/>
    <x v="20"/>
    <x v="20"/>
    <n v="1477"/>
    <n v="1476"/>
    <x v="0"/>
  </r>
  <r>
    <s v="幸福里"/>
    <n v="27"/>
    <x v="21"/>
    <x v="21"/>
    <n v="3127"/>
    <n v="3087"/>
    <x v="1"/>
  </r>
  <r>
    <s v="福源里"/>
    <n v="23"/>
    <x v="22"/>
    <x v="22"/>
    <n v="1163"/>
    <n v="1073"/>
    <x v="1"/>
  </r>
  <r>
    <s v="龍華里"/>
    <n v="18"/>
    <x v="23"/>
    <x v="23"/>
    <n v="1904"/>
    <n v="1927"/>
    <x v="1"/>
  </r>
  <r>
    <s v="迴龍里"/>
    <n v="35"/>
    <x v="24"/>
    <x v="24"/>
    <n v="3355"/>
    <n v="3475"/>
    <x v="1"/>
  </r>
  <r>
    <s v="新嶺里"/>
    <n v="25"/>
    <x v="25"/>
    <x v="25"/>
    <n v="2324"/>
    <n v="2177"/>
    <x v="1"/>
  </r>
  <r>
    <s v="大湖里"/>
    <n v="23"/>
    <x v="26"/>
    <x v="26"/>
    <n v="3047"/>
    <n v="3378"/>
    <x v="0"/>
  </r>
  <r>
    <s v="大華里"/>
    <n v="37"/>
    <x v="27"/>
    <x v="27"/>
    <n v="5533"/>
    <n v="5708"/>
    <x v="0"/>
  </r>
  <r>
    <s v="長庚里"/>
    <n v="27"/>
    <x v="28"/>
    <x v="28"/>
    <n v="2614"/>
    <n v="3319"/>
    <x v="0"/>
  </r>
  <r>
    <s v="★新興里"/>
    <n v="20"/>
    <x v="29"/>
    <x v="29"/>
    <n v="1972"/>
    <n v="1491"/>
    <x v="1"/>
  </r>
  <r>
    <s v="文青里"/>
    <n v="41"/>
    <x v="30"/>
    <x v="30"/>
    <n v="4543"/>
    <n v="5146"/>
    <x v="0"/>
  </r>
  <r>
    <s v="楓福里"/>
    <n v="19"/>
    <x v="31"/>
    <x v="31"/>
    <n v="2056"/>
    <n v="216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1372F-049F-2E42-A8CC-40EDE5E095FD}" name="樞紐分析表2" cacheId="5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4">
  <location ref="B34:D37" firstHeaderRow="0" firstDataRow="1" firstDataCol="1"/>
  <pivotFields count="7">
    <pivotField showAll="0"/>
    <pivotField showAll="0"/>
    <pivotField dataField="1" showAll="0">
      <items count="33">
        <item x="8"/>
        <item x="16"/>
        <item x="22"/>
        <item x="11"/>
        <item x="10"/>
        <item x="20"/>
        <item x="17"/>
        <item x="4"/>
        <item x="31"/>
        <item x="23"/>
        <item x="15"/>
        <item x="25"/>
        <item x="6"/>
        <item x="0"/>
        <item x="29"/>
        <item x="18"/>
        <item x="2"/>
        <item x="13"/>
        <item x="12"/>
        <item x="14"/>
        <item x="21"/>
        <item x="5"/>
        <item x="7"/>
        <item x="3"/>
        <item x="28"/>
        <item x="24"/>
        <item x="1"/>
        <item x="26"/>
        <item x="19"/>
        <item x="9"/>
        <item x="27"/>
        <item x="30"/>
        <item t="default"/>
      </items>
    </pivotField>
    <pivotField dataField="1" showAll="0">
      <items count="33">
        <item x="8"/>
        <item x="16"/>
        <item x="10"/>
        <item x="22"/>
        <item x="11"/>
        <item x="20"/>
        <item x="17"/>
        <item x="29"/>
        <item x="4"/>
        <item x="23"/>
        <item x="6"/>
        <item x="31"/>
        <item x="25"/>
        <item x="15"/>
        <item x="0"/>
        <item x="18"/>
        <item x="2"/>
        <item x="13"/>
        <item x="12"/>
        <item x="28"/>
        <item x="14"/>
        <item x="21"/>
        <item x="5"/>
        <item x="26"/>
        <item x="7"/>
        <item x="24"/>
        <item x="3"/>
        <item x="1"/>
        <item x="19"/>
        <item x="9"/>
        <item x="30"/>
        <item x="27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加總 - 總人口數" fld="3" baseField="0" baseItem="0" numFmtId="176"/>
    <dataField name="加總 - 戶數" fld="2" baseField="0" baseItem="0" numFmtId="17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91744-BD95-9F41-951D-B6A16C2C7F80}" name="樞紐分析表1" cacheId="5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4">
  <location ref="A3:B6" firstHeaderRow="1" firstDataRow="1" firstDataCol="1"/>
  <pivotFields count="7">
    <pivotField showAll="0"/>
    <pivotField showAll="0"/>
    <pivotField showAll="0"/>
    <pivotField dataField="1" showAll="0">
      <items count="33">
        <item x="8"/>
        <item x="16"/>
        <item x="10"/>
        <item x="22"/>
        <item x="11"/>
        <item x="20"/>
        <item x="17"/>
        <item x="29"/>
        <item x="4"/>
        <item x="23"/>
        <item x="6"/>
        <item x="31"/>
        <item x="25"/>
        <item x="15"/>
        <item x="0"/>
        <item x="18"/>
        <item x="2"/>
        <item x="13"/>
        <item x="12"/>
        <item x="28"/>
        <item x="14"/>
        <item x="21"/>
        <item x="5"/>
        <item x="26"/>
        <item x="7"/>
        <item x="24"/>
        <item x="3"/>
        <item x="1"/>
        <item x="19"/>
        <item x="9"/>
        <item x="30"/>
        <item x="27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加總 - 總人口數" fld="3" baseField="0" baseItem="0" numFmtId="17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showGridLines="0" zoomScaleNormal="100" workbookViewId="0">
      <selection sqref="A1:XFD1048576"/>
    </sheetView>
  </sheetViews>
  <sheetFormatPr baseColWidth="10" defaultColWidth="8.83203125" defaultRowHeight="21"/>
  <cols>
    <col min="1" max="6" width="11.1640625" style="2" customWidth="1"/>
  </cols>
  <sheetData>
    <row r="1" spans="1:6" ht="23.5" customHeight="1">
      <c r="A1" s="9" t="s">
        <v>40</v>
      </c>
      <c r="B1" s="9"/>
      <c r="C1" s="9"/>
      <c r="D1" s="9"/>
      <c r="E1" s="9"/>
      <c r="F1" s="9"/>
    </row>
    <row r="2" spans="1:6" ht="37" customHeight="1">
      <c r="A2" s="10" t="s">
        <v>39</v>
      </c>
      <c r="B2" s="11"/>
      <c r="C2" s="11"/>
      <c r="D2" s="11"/>
      <c r="E2" s="11"/>
      <c r="F2" s="11"/>
    </row>
    <row r="3" spans="1:6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ht="22">
      <c r="A4" s="3" t="s">
        <v>6</v>
      </c>
      <c r="B4" s="1">
        <v>25</v>
      </c>
      <c r="C4" s="1">
        <v>1717</v>
      </c>
      <c r="D4" s="1">
        <v>4777</v>
      </c>
      <c r="E4" s="1">
        <v>2421</v>
      </c>
      <c r="F4" s="1">
        <v>2356</v>
      </c>
    </row>
    <row r="5" spans="1:6" ht="22">
      <c r="A5" s="3" t="s">
        <v>7</v>
      </c>
      <c r="B5" s="1">
        <v>39</v>
      </c>
      <c r="C5" s="1">
        <v>2963</v>
      </c>
      <c r="D5" s="1">
        <v>7823</v>
      </c>
      <c r="E5" s="1">
        <v>3874</v>
      </c>
      <c r="F5" s="8">
        <v>3949</v>
      </c>
    </row>
    <row r="6" spans="1:6" ht="22">
      <c r="A6" s="3" t="s">
        <v>8</v>
      </c>
      <c r="B6" s="1">
        <v>29</v>
      </c>
      <c r="C6" s="1">
        <v>1924</v>
      </c>
      <c r="D6" s="1">
        <v>5167</v>
      </c>
      <c r="E6" s="1">
        <v>2702</v>
      </c>
      <c r="F6" s="1">
        <v>2465</v>
      </c>
    </row>
    <row r="7" spans="1:6" ht="22">
      <c r="A7" s="3" t="s">
        <v>9</v>
      </c>
      <c r="B7" s="1">
        <v>34</v>
      </c>
      <c r="C7" s="1">
        <v>2650</v>
      </c>
      <c r="D7" s="1">
        <v>6965</v>
      </c>
      <c r="E7" s="1">
        <v>3458</v>
      </c>
      <c r="F7" s="1">
        <v>3507</v>
      </c>
    </row>
    <row r="8" spans="1:6" ht="22">
      <c r="A8" s="3" t="s">
        <v>10</v>
      </c>
      <c r="B8" s="1">
        <v>19</v>
      </c>
      <c r="C8" s="1">
        <v>1455</v>
      </c>
      <c r="D8" s="1">
        <v>3815</v>
      </c>
      <c r="E8" s="1">
        <v>1885</v>
      </c>
      <c r="F8" s="1">
        <v>1930</v>
      </c>
    </row>
    <row r="9" spans="1:6" ht="22">
      <c r="A9" s="3" t="s">
        <v>11</v>
      </c>
      <c r="B9" s="1">
        <v>31</v>
      </c>
      <c r="C9" s="1">
        <v>2572</v>
      </c>
      <c r="D9" s="1">
        <v>6385</v>
      </c>
      <c r="E9" s="1">
        <v>3359</v>
      </c>
      <c r="F9" s="1">
        <v>3026</v>
      </c>
    </row>
    <row r="10" spans="1:6" ht="22">
      <c r="A10" s="3" t="s">
        <v>12</v>
      </c>
      <c r="B10" s="1">
        <v>30</v>
      </c>
      <c r="C10" s="1">
        <v>1711</v>
      </c>
      <c r="D10" s="1">
        <v>4067</v>
      </c>
      <c r="E10" s="1">
        <v>1970</v>
      </c>
      <c r="F10" s="1">
        <v>2097</v>
      </c>
    </row>
    <row r="11" spans="1:6" ht="22">
      <c r="A11" s="3" t="s">
        <v>13</v>
      </c>
      <c r="B11" s="1">
        <v>35</v>
      </c>
      <c r="C11" s="1">
        <v>2627</v>
      </c>
      <c r="D11" s="1">
        <v>6494</v>
      </c>
      <c r="E11" s="1">
        <v>3165</v>
      </c>
      <c r="F11" s="1">
        <v>3329</v>
      </c>
    </row>
    <row r="12" spans="1:6" ht="22">
      <c r="A12" s="3" t="s">
        <v>14</v>
      </c>
      <c r="B12" s="1">
        <v>14</v>
      </c>
      <c r="C12" s="1">
        <v>628</v>
      </c>
      <c r="D12" s="1">
        <v>1466</v>
      </c>
      <c r="E12" s="1">
        <v>733</v>
      </c>
      <c r="F12" s="1">
        <v>733</v>
      </c>
    </row>
    <row r="13" spans="1:6" ht="22">
      <c r="A13" s="3" t="s">
        <v>15</v>
      </c>
      <c r="B13" s="1">
        <v>28</v>
      </c>
      <c r="C13" s="1">
        <v>4199</v>
      </c>
      <c r="D13" s="1">
        <v>8722</v>
      </c>
      <c r="E13" s="1">
        <v>4306</v>
      </c>
      <c r="F13" s="1">
        <v>4416</v>
      </c>
    </row>
    <row r="14" spans="1:6" ht="22">
      <c r="A14" s="3" t="s">
        <v>16</v>
      </c>
      <c r="B14" s="1">
        <v>15</v>
      </c>
      <c r="C14" s="1">
        <v>956</v>
      </c>
      <c r="D14" s="1">
        <v>2228</v>
      </c>
      <c r="E14" s="1">
        <v>1123</v>
      </c>
      <c r="F14" s="1">
        <v>1105</v>
      </c>
    </row>
    <row r="15" spans="1:6" ht="22">
      <c r="A15" s="3" t="s">
        <v>17</v>
      </c>
      <c r="B15" s="1">
        <v>18</v>
      </c>
      <c r="C15" s="1">
        <v>908</v>
      </c>
      <c r="D15" s="1">
        <v>2290</v>
      </c>
      <c r="E15" s="1">
        <v>1186</v>
      </c>
      <c r="F15" s="1">
        <v>1104</v>
      </c>
    </row>
    <row r="16" spans="1:6" ht="22">
      <c r="A16" s="3" t="s">
        <v>18</v>
      </c>
      <c r="B16" s="1">
        <v>32</v>
      </c>
      <c r="C16" s="1">
        <v>2200</v>
      </c>
      <c r="D16" s="1">
        <v>5496</v>
      </c>
      <c r="E16" s="1">
        <v>2695</v>
      </c>
      <c r="F16" s="1">
        <v>2801</v>
      </c>
    </row>
    <row r="17" spans="1:6" ht="22">
      <c r="A17" s="3" t="s">
        <v>19</v>
      </c>
      <c r="B17" s="1">
        <v>34</v>
      </c>
      <c r="C17" s="1">
        <v>2150</v>
      </c>
      <c r="D17" s="1">
        <v>5397</v>
      </c>
      <c r="E17" s="1">
        <v>2657</v>
      </c>
      <c r="F17" s="1">
        <v>2740</v>
      </c>
    </row>
    <row r="18" spans="1:6" ht="22">
      <c r="A18" s="3" t="s">
        <v>20</v>
      </c>
      <c r="B18" s="1">
        <v>42</v>
      </c>
      <c r="C18" s="1">
        <v>2371</v>
      </c>
      <c r="D18" s="1">
        <v>6150</v>
      </c>
      <c r="E18" s="1">
        <v>3042</v>
      </c>
      <c r="F18" s="1">
        <v>3108</v>
      </c>
    </row>
    <row r="19" spans="1:6" ht="22">
      <c r="A19" s="3" t="s">
        <v>21</v>
      </c>
      <c r="B19" s="1">
        <v>30</v>
      </c>
      <c r="C19" s="1">
        <v>1673</v>
      </c>
      <c r="D19" s="1">
        <v>4651</v>
      </c>
      <c r="E19" s="1">
        <v>2413</v>
      </c>
      <c r="F19" s="1">
        <v>2238</v>
      </c>
    </row>
    <row r="20" spans="1:6" ht="22">
      <c r="A20" s="3" t="s">
        <v>22</v>
      </c>
      <c r="B20" s="1">
        <v>17</v>
      </c>
      <c r="C20" s="1">
        <v>786</v>
      </c>
      <c r="D20" s="1">
        <v>1995</v>
      </c>
      <c r="E20" s="1">
        <v>1030</v>
      </c>
      <c r="F20" s="1">
        <v>965</v>
      </c>
    </row>
    <row r="21" spans="1:6" ht="22">
      <c r="A21" s="3" t="s">
        <v>23</v>
      </c>
      <c r="B21" s="1">
        <v>17</v>
      </c>
      <c r="C21" s="1">
        <v>1232</v>
      </c>
      <c r="D21" s="1">
        <v>2962</v>
      </c>
      <c r="E21" s="1">
        <v>1491</v>
      </c>
      <c r="F21" s="1">
        <v>1471</v>
      </c>
    </row>
    <row r="22" spans="1:6" ht="22">
      <c r="A22" s="3" t="s">
        <v>24</v>
      </c>
      <c r="B22" s="1">
        <v>26</v>
      </c>
      <c r="C22" s="1">
        <v>1898</v>
      </c>
      <c r="D22" s="1">
        <v>4965</v>
      </c>
      <c r="E22" s="1">
        <v>2567</v>
      </c>
      <c r="F22" s="1">
        <v>2398</v>
      </c>
    </row>
    <row r="23" spans="1:6" ht="22">
      <c r="A23" s="3" t="s">
        <v>25</v>
      </c>
      <c r="B23" s="1">
        <v>33</v>
      </c>
      <c r="C23" s="1">
        <v>4034</v>
      </c>
      <c r="D23" s="1">
        <v>8709</v>
      </c>
      <c r="E23" s="1">
        <v>4171</v>
      </c>
      <c r="F23" s="1">
        <v>4538</v>
      </c>
    </row>
    <row r="24" spans="1:6" ht="22">
      <c r="A24" s="3" t="s">
        <v>26</v>
      </c>
      <c r="B24" s="1">
        <v>14</v>
      </c>
      <c r="C24" s="1">
        <v>1095</v>
      </c>
      <c r="D24" s="1">
        <v>2953</v>
      </c>
      <c r="E24" s="1">
        <v>1477</v>
      </c>
      <c r="F24" s="1">
        <v>1476</v>
      </c>
    </row>
    <row r="25" spans="1:6" ht="22">
      <c r="A25" s="3" t="s">
        <v>27</v>
      </c>
      <c r="B25" s="1">
        <v>27</v>
      </c>
      <c r="C25" s="1">
        <v>2378</v>
      </c>
      <c r="D25" s="1">
        <v>6214</v>
      </c>
      <c r="E25" s="1">
        <v>3127</v>
      </c>
      <c r="F25" s="1">
        <v>3087</v>
      </c>
    </row>
    <row r="26" spans="1:6" ht="22">
      <c r="A26" s="3" t="s">
        <v>28</v>
      </c>
      <c r="B26" s="1">
        <v>23</v>
      </c>
      <c r="C26" s="1">
        <v>802</v>
      </c>
      <c r="D26" s="1">
        <v>2236</v>
      </c>
      <c r="E26" s="1">
        <v>1163</v>
      </c>
      <c r="F26" s="1">
        <v>1073</v>
      </c>
    </row>
    <row r="27" spans="1:6" ht="22">
      <c r="A27" s="3" t="s">
        <v>29</v>
      </c>
      <c r="B27" s="1">
        <v>18</v>
      </c>
      <c r="C27" s="1">
        <v>1594</v>
      </c>
      <c r="D27" s="1">
        <v>3831</v>
      </c>
      <c r="E27" s="1">
        <v>1904</v>
      </c>
      <c r="F27" s="1">
        <v>1927</v>
      </c>
    </row>
    <row r="28" spans="1:6" ht="22">
      <c r="A28" s="3" t="s">
        <v>30</v>
      </c>
      <c r="B28" s="1">
        <v>35</v>
      </c>
      <c r="C28" s="1">
        <v>2848</v>
      </c>
      <c r="D28" s="1">
        <v>6830</v>
      </c>
      <c r="E28" s="1">
        <v>3355</v>
      </c>
      <c r="F28" s="1">
        <v>3475</v>
      </c>
    </row>
    <row r="29" spans="1:6" ht="22">
      <c r="A29" s="3" t="s">
        <v>31</v>
      </c>
      <c r="B29" s="1">
        <v>25</v>
      </c>
      <c r="C29" s="1">
        <v>1680</v>
      </c>
      <c r="D29" s="1">
        <v>4501</v>
      </c>
      <c r="E29" s="1">
        <v>2324</v>
      </c>
      <c r="F29" s="1">
        <v>2177</v>
      </c>
    </row>
    <row r="30" spans="1:6" ht="22">
      <c r="A30" s="3" t="s">
        <v>32</v>
      </c>
      <c r="B30" s="1">
        <v>23</v>
      </c>
      <c r="C30" s="1">
        <v>3063</v>
      </c>
      <c r="D30" s="1">
        <v>6425</v>
      </c>
      <c r="E30" s="1">
        <v>3047</v>
      </c>
      <c r="F30" s="1">
        <v>3378</v>
      </c>
    </row>
    <row r="31" spans="1:6" ht="22">
      <c r="A31" s="3" t="s">
        <v>33</v>
      </c>
      <c r="B31" s="1">
        <v>37</v>
      </c>
      <c r="C31" s="1">
        <v>4440</v>
      </c>
      <c r="D31" s="1">
        <v>11241</v>
      </c>
      <c r="E31" s="1">
        <v>5533</v>
      </c>
      <c r="F31" s="1">
        <v>5708</v>
      </c>
    </row>
    <row r="32" spans="1:6" ht="22">
      <c r="A32" s="3" t="s">
        <v>34</v>
      </c>
      <c r="B32" s="1">
        <v>27</v>
      </c>
      <c r="C32" s="1">
        <v>2787</v>
      </c>
      <c r="D32" s="1">
        <v>5933</v>
      </c>
      <c r="E32" s="1">
        <v>2614</v>
      </c>
      <c r="F32" s="1">
        <v>3319</v>
      </c>
    </row>
    <row r="33" spans="1:6" ht="22">
      <c r="A33" s="3" t="s">
        <v>36</v>
      </c>
      <c r="B33" s="1">
        <v>20</v>
      </c>
      <c r="C33" s="1">
        <v>1861</v>
      </c>
      <c r="D33" s="1">
        <v>3463</v>
      </c>
      <c r="E33" s="1">
        <v>1972</v>
      </c>
      <c r="F33" s="1">
        <v>1491</v>
      </c>
    </row>
    <row r="34" spans="1:6" ht="22">
      <c r="A34" s="4" t="s">
        <v>37</v>
      </c>
      <c r="B34" s="1">
        <v>41</v>
      </c>
      <c r="C34" s="1">
        <v>4862</v>
      </c>
      <c r="D34" s="1">
        <v>9689</v>
      </c>
      <c r="E34" s="1">
        <v>4543</v>
      </c>
      <c r="F34" s="1">
        <v>5146</v>
      </c>
    </row>
    <row r="35" spans="1:6" ht="22">
      <c r="A35" s="4" t="s">
        <v>38</v>
      </c>
      <c r="B35" s="1">
        <v>19</v>
      </c>
      <c r="C35" s="1">
        <v>1473</v>
      </c>
      <c r="D35" s="1">
        <v>4217</v>
      </c>
      <c r="E35" s="1">
        <v>2056</v>
      </c>
      <c r="F35" s="1">
        <v>2161</v>
      </c>
    </row>
    <row r="36" spans="1:6" ht="22">
      <c r="A36" s="5" t="s">
        <v>35</v>
      </c>
      <c r="B36" s="6">
        <f>SUM(B4:B35)</f>
        <v>857</v>
      </c>
      <c r="C36" s="6">
        <f t="shared" ref="C36:F36" si="0">SUM(C4:C35)</f>
        <v>69537</v>
      </c>
      <c r="D36" s="6">
        <f>SUM(D4:D35)</f>
        <v>168057</v>
      </c>
      <c r="E36" s="6">
        <f t="shared" si="0"/>
        <v>83363</v>
      </c>
      <c r="F36" s="6">
        <f t="shared" si="0"/>
        <v>84694</v>
      </c>
    </row>
  </sheetData>
  <mergeCells count="2">
    <mergeCell ref="A1:F1"/>
    <mergeCell ref="A2:F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2B5D-E341-5B42-A773-FFAB977326DA}">
  <dimension ref="A3:D37"/>
  <sheetViews>
    <sheetView tabSelected="1" topLeftCell="A12" workbookViewId="0">
      <selection activeCell="O18" sqref="O18"/>
    </sheetView>
  </sheetViews>
  <sheetFormatPr baseColWidth="10" defaultRowHeight="15"/>
  <cols>
    <col min="1" max="2" width="10.33203125" bestFit="1" customWidth="1"/>
    <col min="3" max="3" width="16" bestFit="1" customWidth="1"/>
    <col min="4" max="4" width="11.6640625" bestFit="1" customWidth="1"/>
  </cols>
  <sheetData>
    <row r="3" spans="1:2">
      <c r="A3" s="13" t="s">
        <v>46</v>
      </c>
      <c r="B3" t="s">
        <v>48</v>
      </c>
    </row>
    <row r="4" spans="1:2">
      <c r="A4" s="14" t="s">
        <v>42</v>
      </c>
      <c r="B4" s="15">
        <v>72360</v>
      </c>
    </row>
    <row r="5" spans="1:2">
      <c r="A5" s="14" t="s">
        <v>44</v>
      </c>
      <c r="B5" s="15">
        <v>95697</v>
      </c>
    </row>
    <row r="6" spans="1:2">
      <c r="A6" s="14" t="s">
        <v>47</v>
      </c>
      <c r="B6" s="15">
        <v>168057</v>
      </c>
    </row>
    <row r="34" spans="2:4">
      <c r="B34" s="13" t="s">
        <v>46</v>
      </c>
      <c r="C34" t="s">
        <v>48</v>
      </c>
      <c r="D34" t="s">
        <v>49</v>
      </c>
    </row>
    <row r="35" spans="2:4">
      <c r="B35" s="14" t="s">
        <v>42</v>
      </c>
      <c r="C35" s="15">
        <v>72360</v>
      </c>
      <c r="D35" s="15">
        <v>31819</v>
      </c>
    </row>
    <row r="36" spans="2:4">
      <c r="B36" s="14" t="s">
        <v>44</v>
      </c>
      <c r="C36" s="15">
        <v>95697</v>
      </c>
      <c r="D36" s="15">
        <v>37718</v>
      </c>
    </row>
    <row r="37" spans="2:4">
      <c r="B37" s="14" t="s">
        <v>47</v>
      </c>
      <c r="C37" s="15">
        <v>168057</v>
      </c>
      <c r="D37" s="15">
        <v>69537</v>
      </c>
    </row>
  </sheetData>
  <phoneticPr fontId="7" type="noConversion"/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6596-8205-564B-860A-D722F022E56E}">
  <dimension ref="A1:G35"/>
  <sheetViews>
    <sheetView workbookViewId="0">
      <selection activeCell="E5" sqref="E5"/>
    </sheetView>
  </sheetViews>
  <sheetFormatPr baseColWidth="10" defaultColWidth="8.83203125" defaultRowHeight="15"/>
  <cols>
    <col min="1" max="6" width="11.1640625" style="2" customWidth="1"/>
  </cols>
  <sheetData>
    <row r="1" spans="1:7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2" t="s">
        <v>41</v>
      </c>
    </row>
    <row r="2" spans="1:7" ht="22">
      <c r="A2" s="3" t="s">
        <v>6</v>
      </c>
      <c r="B2" s="1">
        <v>25</v>
      </c>
      <c r="C2" s="1">
        <v>1717</v>
      </c>
      <c r="D2" s="1">
        <v>4777</v>
      </c>
      <c r="E2" s="1">
        <v>2421</v>
      </c>
      <c r="F2" s="1">
        <v>2356</v>
      </c>
      <c r="G2" t="s">
        <v>43</v>
      </c>
    </row>
    <row r="3" spans="1:7" ht="22">
      <c r="A3" s="3" t="s">
        <v>7</v>
      </c>
      <c r="B3" s="1">
        <v>39</v>
      </c>
      <c r="C3" s="1">
        <v>2963</v>
      </c>
      <c r="D3" s="1">
        <v>7823</v>
      </c>
      <c r="E3" s="1">
        <v>3874</v>
      </c>
      <c r="F3" s="8">
        <v>3949</v>
      </c>
      <c r="G3" t="s">
        <v>45</v>
      </c>
    </row>
    <row r="4" spans="1:7" ht="22">
      <c r="A4" s="3" t="s">
        <v>8</v>
      </c>
      <c r="B4" s="1">
        <v>29</v>
      </c>
      <c r="C4" s="1">
        <v>1924</v>
      </c>
      <c r="D4" s="1">
        <v>5167</v>
      </c>
      <c r="E4" s="1">
        <v>2702</v>
      </c>
      <c r="F4" s="1">
        <v>2465</v>
      </c>
      <c r="G4" t="s">
        <v>45</v>
      </c>
    </row>
    <row r="5" spans="1:7" ht="22">
      <c r="A5" s="3" t="s">
        <v>9</v>
      </c>
      <c r="B5" s="1">
        <v>34</v>
      </c>
      <c r="C5" s="1">
        <v>2650</v>
      </c>
      <c r="D5" s="1">
        <v>6965</v>
      </c>
      <c r="E5" s="1">
        <v>3458</v>
      </c>
      <c r="F5" s="1">
        <v>3507</v>
      </c>
      <c r="G5" t="s">
        <v>45</v>
      </c>
    </row>
    <row r="6" spans="1:7" ht="22">
      <c r="A6" s="3" t="s">
        <v>10</v>
      </c>
      <c r="B6" s="1">
        <v>19</v>
      </c>
      <c r="C6" s="1">
        <v>1455</v>
      </c>
      <c r="D6" s="1">
        <v>3815</v>
      </c>
      <c r="E6" s="1">
        <v>1885</v>
      </c>
      <c r="F6" s="1">
        <v>1930</v>
      </c>
      <c r="G6" t="s">
        <v>45</v>
      </c>
    </row>
    <row r="7" spans="1:7" ht="22">
      <c r="A7" s="3" t="s">
        <v>11</v>
      </c>
      <c r="B7" s="1">
        <v>31</v>
      </c>
      <c r="C7" s="1">
        <v>2572</v>
      </c>
      <c r="D7" s="1">
        <v>6385</v>
      </c>
      <c r="E7" s="1">
        <v>3359</v>
      </c>
      <c r="F7" s="1">
        <v>3026</v>
      </c>
      <c r="G7" t="s">
        <v>45</v>
      </c>
    </row>
    <row r="8" spans="1:7" ht="22">
      <c r="A8" s="3" t="s">
        <v>12</v>
      </c>
      <c r="B8" s="1">
        <v>30</v>
      </c>
      <c r="C8" s="1">
        <v>1711</v>
      </c>
      <c r="D8" s="1">
        <v>4067</v>
      </c>
      <c r="E8" s="1">
        <v>1970</v>
      </c>
      <c r="F8" s="1">
        <v>2097</v>
      </c>
      <c r="G8" t="s">
        <v>45</v>
      </c>
    </row>
    <row r="9" spans="1:7" ht="22">
      <c r="A9" s="3" t="s">
        <v>13</v>
      </c>
      <c r="B9" s="1">
        <v>35</v>
      </c>
      <c r="C9" s="1">
        <v>2627</v>
      </c>
      <c r="D9" s="1">
        <v>6494</v>
      </c>
      <c r="E9" s="1">
        <v>3165</v>
      </c>
      <c r="F9" s="1">
        <v>3329</v>
      </c>
      <c r="G9" t="s">
        <v>45</v>
      </c>
    </row>
    <row r="10" spans="1:7" ht="22">
      <c r="A10" s="3" t="s">
        <v>14</v>
      </c>
      <c r="B10" s="1">
        <v>14</v>
      </c>
      <c r="C10" s="1">
        <v>628</v>
      </c>
      <c r="D10" s="1">
        <v>1466</v>
      </c>
      <c r="E10" s="1">
        <v>733</v>
      </c>
      <c r="F10" s="1">
        <v>733</v>
      </c>
      <c r="G10" t="s">
        <v>43</v>
      </c>
    </row>
    <row r="11" spans="1:7" ht="22">
      <c r="A11" s="3" t="s">
        <v>15</v>
      </c>
      <c r="B11" s="1">
        <v>28</v>
      </c>
      <c r="C11" s="1">
        <v>4199</v>
      </c>
      <c r="D11" s="1">
        <v>8722</v>
      </c>
      <c r="E11" s="1">
        <v>4306</v>
      </c>
      <c r="F11" s="1">
        <v>4416</v>
      </c>
      <c r="G11" t="s">
        <v>43</v>
      </c>
    </row>
    <row r="12" spans="1:7" ht="22">
      <c r="A12" s="3" t="s">
        <v>16</v>
      </c>
      <c r="B12" s="1">
        <v>15</v>
      </c>
      <c r="C12" s="1">
        <v>956</v>
      </c>
      <c r="D12" s="1">
        <v>2228</v>
      </c>
      <c r="E12" s="1">
        <v>1123</v>
      </c>
      <c r="F12" s="1">
        <v>1105</v>
      </c>
      <c r="G12" t="s">
        <v>43</v>
      </c>
    </row>
    <row r="13" spans="1:7" ht="22">
      <c r="A13" s="3" t="s">
        <v>17</v>
      </c>
      <c r="B13" s="1">
        <v>18</v>
      </c>
      <c r="C13" s="1">
        <v>908</v>
      </c>
      <c r="D13" s="1">
        <v>2290</v>
      </c>
      <c r="E13" s="1">
        <v>1186</v>
      </c>
      <c r="F13" s="1">
        <v>1104</v>
      </c>
      <c r="G13" t="s">
        <v>43</v>
      </c>
    </row>
    <row r="14" spans="1:7" ht="22">
      <c r="A14" s="3" t="s">
        <v>18</v>
      </c>
      <c r="B14" s="1">
        <v>32</v>
      </c>
      <c r="C14" s="1">
        <v>2200</v>
      </c>
      <c r="D14" s="1">
        <v>5496</v>
      </c>
      <c r="E14" s="1">
        <v>2695</v>
      </c>
      <c r="F14" s="1">
        <v>2801</v>
      </c>
      <c r="G14" t="s">
        <v>45</v>
      </c>
    </row>
    <row r="15" spans="1:7" ht="22">
      <c r="A15" s="3" t="s">
        <v>19</v>
      </c>
      <c r="B15" s="1">
        <v>34</v>
      </c>
      <c r="C15" s="1">
        <v>2150</v>
      </c>
      <c r="D15" s="1">
        <v>5397</v>
      </c>
      <c r="E15" s="1">
        <v>2657</v>
      </c>
      <c r="F15" s="1">
        <v>2740</v>
      </c>
      <c r="G15" t="s">
        <v>45</v>
      </c>
    </row>
    <row r="16" spans="1:7" ht="22">
      <c r="A16" s="3" t="s">
        <v>20</v>
      </c>
      <c r="B16" s="1">
        <v>42</v>
      </c>
      <c r="C16" s="1">
        <v>2371</v>
      </c>
      <c r="D16" s="1">
        <v>6150</v>
      </c>
      <c r="E16" s="1">
        <v>3042</v>
      </c>
      <c r="F16" s="1">
        <v>3108</v>
      </c>
      <c r="G16" t="s">
        <v>45</v>
      </c>
    </row>
    <row r="17" spans="1:7" ht="22">
      <c r="A17" s="3" t="s">
        <v>21</v>
      </c>
      <c r="B17" s="1">
        <v>30</v>
      </c>
      <c r="C17" s="1">
        <v>1673</v>
      </c>
      <c r="D17" s="1">
        <v>4651</v>
      </c>
      <c r="E17" s="1">
        <v>2413</v>
      </c>
      <c r="F17" s="1">
        <v>2238</v>
      </c>
      <c r="G17" t="s">
        <v>45</v>
      </c>
    </row>
    <row r="18" spans="1:7" ht="22">
      <c r="A18" s="3" t="s">
        <v>22</v>
      </c>
      <c r="B18" s="1">
        <v>17</v>
      </c>
      <c r="C18" s="1">
        <v>786</v>
      </c>
      <c r="D18" s="1">
        <v>1995</v>
      </c>
      <c r="E18" s="1">
        <v>1030</v>
      </c>
      <c r="F18" s="1">
        <v>965</v>
      </c>
      <c r="G18" t="s">
        <v>45</v>
      </c>
    </row>
    <row r="19" spans="1:7" ht="22">
      <c r="A19" s="3" t="s">
        <v>23</v>
      </c>
      <c r="B19" s="1">
        <v>17</v>
      </c>
      <c r="C19" s="1">
        <v>1232</v>
      </c>
      <c r="D19" s="1">
        <v>2962</v>
      </c>
      <c r="E19" s="1">
        <v>1491</v>
      </c>
      <c r="F19" s="1">
        <v>1471</v>
      </c>
      <c r="G19" t="s">
        <v>43</v>
      </c>
    </row>
    <row r="20" spans="1:7" ht="22">
      <c r="A20" s="3" t="s">
        <v>24</v>
      </c>
      <c r="B20" s="1">
        <v>26</v>
      </c>
      <c r="C20" s="1">
        <v>1898</v>
      </c>
      <c r="D20" s="1">
        <v>4965</v>
      </c>
      <c r="E20" s="1">
        <v>2567</v>
      </c>
      <c r="F20" s="1">
        <v>2398</v>
      </c>
      <c r="G20" t="s">
        <v>43</v>
      </c>
    </row>
    <row r="21" spans="1:7" ht="22">
      <c r="A21" s="3" t="s">
        <v>25</v>
      </c>
      <c r="B21" s="1">
        <v>33</v>
      </c>
      <c r="C21" s="1">
        <v>4034</v>
      </c>
      <c r="D21" s="1">
        <v>8709</v>
      </c>
      <c r="E21" s="1">
        <v>4171</v>
      </c>
      <c r="F21" s="1">
        <v>4538</v>
      </c>
      <c r="G21" t="s">
        <v>43</v>
      </c>
    </row>
    <row r="22" spans="1:7" ht="22">
      <c r="A22" s="3" t="s">
        <v>26</v>
      </c>
      <c r="B22" s="1">
        <v>14</v>
      </c>
      <c r="C22" s="1">
        <v>1095</v>
      </c>
      <c r="D22" s="1">
        <v>2953</v>
      </c>
      <c r="E22" s="1">
        <v>1477</v>
      </c>
      <c r="F22" s="1">
        <v>1476</v>
      </c>
      <c r="G22" t="s">
        <v>43</v>
      </c>
    </row>
    <row r="23" spans="1:7" ht="22">
      <c r="A23" s="3" t="s">
        <v>27</v>
      </c>
      <c r="B23" s="1">
        <v>27</v>
      </c>
      <c r="C23" s="1">
        <v>2378</v>
      </c>
      <c r="D23" s="1">
        <v>6214</v>
      </c>
      <c r="E23" s="1">
        <v>3127</v>
      </c>
      <c r="F23" s="1">
        <v>3087</v>
      </c>
      <c r="G23" t="s">
        <v>45</v>
      </c>
    </row>
    <row r="24" spans="1:7" ht="22">
      <c r="A24" s="3" t="s">
        <v>28</v>
      </c>
      <c r="B24" s="1">
        <v>23</v>
      </c>
      <c r="C24" s="1">
        <v>802</v>
      </c>
      <c r="D24" s="1">
        <v>2236</v>
      </c>
      <c r="E24" s="1">
        <v>1163</v>
      </c>
      <c r="F24" s="1">
        <v>1073</v>
      </c>
      <c r="G24" t="s">
        <v>45</v>
      </c>
    </row>
    <row r="25" spans="1:7" ht="22">
      <c r="A25" s="3" t="s">
        <v>29</v>
      </c>
      <c r="B25" s="1">
        <v>18</v>
      </c>
      <c r="C25" s="1">
        <v>1594</v>
      </c>
      <c r="D25" s="1">
        <v>3831</v>
      </c>
      <c r="E25" s="1">
        <v>1904</v>
      </c>
      <c r="F25" s="1">
        <v>1927</v>
      </c>
      <c r="G25" t="s">
        <v>45</v>
      </c>
    </row>
    <row r="26" spans="1:7" ht="22">
      <c r="A26" s="3" t="s">
        <v>30</v>
      </c>
      <c r="B26" s="1">
        <v>35</v>
      </c>
      <c r="C26" s="1">
        <v>2848</v>
      </c>
      <c r="D26" s="1">
        <v>6830</v>
      </c>
      <c r="E26" s="1">
        <v>3355</v>
      </c>
      <c r="F26" s="1">
        <v>3475</v>
      </c>
      <c r="G26" t="s">
        <v>45</v>
      </c>
    </row>
    <row r="27" spans="1:7" ht="22">
      <c r="A27" s="3" t="s">
        <v>31</v>
      </c>
      <c r="B27" s="1">
        <v>25</v>
      </c>
      <c r="C27" s="1">
        <v>1680</v>
      </c>
      <c r="D27" s="1">
        <v>4501</v>
      </c>
      <c r="E27" s="1">
        <v>2324</v>
      </c>
      <c r="F27" s="1">
        <v>2177</v>
      </c>
      <c r="G27" t="s">
        <v>45</v>
      </c>
    </row>
    <row r="28" spans="1:7" ht="22">
      <c r="A28" s="3" t="s">
        <v>32</v>
      </c>
      <c r="B28" s="1">
        <v>23</v>
      </c>
      <c r="C28" s="1">
        <v>3063</v>
      </c>
      <c r="D28" s="1">
        <v>6425</v>
      </c>
      <c r="E28" s="1">
        <v>3047</v>
      </c>
      <c r="F28" s="1">
        <v>3378</v>
      </c>
      <c r="G28" t="s">
        <v>43</v>
      </c>
    </row>
    <row r="29" spans="1:7" ht="22">
      <c r="A29" s="3" t="s">
        <v>33</v>
      </c>
      <c r="B29" s="1">
        <v>37</v>
      </c>
      <c r="C29" s="1">
        <v>4440</v>
      </c>
      <c r="D29" s="1">
        <v>11241</v>
      </c>
      <c r="E29" s="1">
        <v>5533</v>
      </c>
      <c r="F29" s="1">
        <v>5708</v>
      </c>
      <c r="G29" t="s">
        <v>43</v>
      </c>
    </row>
    <row r="30" spans="1:7" ht="22">
      <c r="A30" s="3" t="s">
        <v>34</v>
      </c>
      <c r="B30" s="1">
        <v>27</v>
      </c>
      <c r="C30" s="1">
        <v>2787</v>
      </c>
      <c r="D30" s="1">
        <v>5933</v>
      </c>
      <c r="E30" s="1">
        <v>2614</v>
      </c>
      <c r="F30" s="1">
        <v>3319</v>
      </c>
      <c r="G30" t="s">
        <v>43</v>
      </c>
    </row>
    <row r="31" spans="1:7" ht="22">
      <c r="A31" s="3" t="s">
        <v>36</v>
      </c>
      <c r="B31" s="1">
        <v>20</v>
      </c>
      <c r="C31" s="1">
        <v>1861</v>
      </c>
      <c r="D31" s="1">
        <v>3463</v>
      </c>
      <c r="E31" s="1">
        <v>1972</v>
      </c>
      <c r="F31" s="1">
        <v>1491</v>
      </c>
      <c r="G31" t="s">
        <v>45</v>
      </c>
    </row>
    <row r="32" spans="1:7" ht="22">
      <c r="A32" s="4" t="s">
        <v>37</v>
      </c>
      <c r="B32" s="1">
        <v>41</v>
      </c>
      <c r="C32" s="1">
        <v>4862</v>
      </c>
      <c r="D32" s="1">
        <v>9689</v>
      </c>
      <c r="E32" s="1">
        <v>4543</v>
      </c>
      <c r="F32" s="1">
        <v>5146</v>
      </c>
      <c r="G32" t="s">
        <v>43</v>
      </c>
    </row>
    <row r="33" spans="1:7" ht="22">
      <c r="A33" s="4" t="s">
        <v>38</v>
      </c>
      <c r="B33" s="1">
        <v>19</v>
      </c>
      <c r="C33" s="1">
        <v>1473</v>
      </c>
      <c r="D33" s="1">
        <v>4217</v>
      </c>
      <c r="E33" s="1">
        <v>2056</v>
      </c>
      <c r="F33" s="1">
        <v>2161</v>
      </c>
      <c r="G33" t="s">
        <v>45</v>
      </c>
    </row>
    <row r="34" spans="1:7" ht="21"/>
    <row r="35" spans="1:7" ht="21"/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工作表3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Ketaifeng</dc:creator>
  <cp:lastModifiedBy>Microsoft Office User</cp:lastModifiedBy>
  <cp:lastPrinted>2022-04-01T01:05:32Z</cp:lastPrinted>
  <dcterms:created xsi:type="dcterms:W3CDTF">2015-11-05T06:06:22Z</dcterms:created>
  <dcterms:modified xsi:type="dcterms:W3CDTF">2022-05-03T03:46:09Z</dcterms:modified>
</cp:coreProperties>
</file>