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1.xml" ContentType="application/vnd.ms-office.chartex+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9.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5.xml" ContentType="application/vnd.openxmlformats-officedocument.spreadsheetml.pivotTable+xml"/>
  <Override PartName="/xl/drawings/drawing1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2"/>
  <workbookPr defaultThemeVersion="166925"/>
  <mc:AlternateContent xmlns:mc="http://schemas.openxmlformats.org/markup-compatibility/2006">
    <mc:Choice Requires="x15">
      <x15ac:absPath xmlns:x15ac="http://schemas.microsoft.com/office/spreadsheetml/2010/11/ac" url="/Users/wangtaichung/Documents/7_WebSite/7.11_CommunityWebSite/A7Xinlinkou4/db/"/>
    </mc:Choice>
  </mc:AlternateContent>
  <xr:revisionPtr revIDLastSave="0" documentId="13_ncr:1_{3B5CF497-4A5B-9446-A0EB-676344585C24}" xr6:coauthVersionLast="47" xr6:coauthVersionMax="47" xr10:uidLastSave="{00000000-0000-0000-0000-000000000000}"/>
  <bookViews>
    <workbookView xWindow="1380" yWindow="500" windowWidth="34180" windowHeight="22540" activeTab="14" xr2:uid="{82CCD04F-99AF-E049-A4F3-18018514BF0A}"/>
  </bookViews>
  <sheets>
    <sheet name="Figure-1" sheetId="2" r:id="rId1"/>
    <sheet name="Figure-2" sheetId="3" r:id="rId2"/>
    <sheet name="Figure-4" sheetId="5" r:id="rId3"/>
    <sheet name="Figure-3" sheetId="4" r:id="rId4"/>
    <sheet name="Figure-5" sheetId="6" r:id="rId5"/>
    <sheet name="Figure-6" sheetId="7" r:id="rId6"/>
    <sheet name="Figure-7" sheetId="8" r:id="rId7"/>
    <sheet name="Figure-8" sheetId="9" r:id="rId8"/>
    <sheet name="Figure-9" sheetId="10" r:id="rId9"/>
    <sheet name="Figure-10" sheetId="11" r:id="rId10"/>
    <sheet name="Figure-11" sheetId="12" r:id="rId11"/>
    <sheet name="Analysis-01" sheetId="13" r:id="rId12"/>
    <sheet name="車位分配" sheetId="14" r:id="rId13"/>
    <sheet name="建案資料" sheetId="1" r:id="rId14"/>
    <sheet name="Figure-12" sheetId="15" r:id="rId15"/>
  </sheets>
  <definedNames>
    <definedName name="_xlchart.v1.0" hidden="1">'Figure-8'!$E$4:$E$48</definedName>
    <definedName name="_xlchart.v1.1" hidden="1">'Figure-8'!$F$3</definedName>
    <definedName name="_xlchart.v1.2" hidden="1">'Figure-8'!$F$4:$F$48</definedName>
  </definedNames>
  <calcPr calcId="191029"/>
  <pivotCaches>
    <pivotCache cacheId="23" r:id="rId16"/>
    <pivotCache cacheId="2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0" i="1" l="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<sst xmlns="http://schemas.openxmlformats.org/spreadsheetml/2006/main" count="2527" uniqueCount="1159">
  <si>
    <t>no</t>
    <phoneticPr fontId="3" type="noConversion"/>
  </si>
  <si>
    <t>建案</t>
  </si>
  <si>
    <t>Figure</t>
    <phoneticPr fontId="3" type="noConversion"/>
  </si>
  <si>
    <t>Link</t>
    <phoneticPr fontId="3" type="noConversion"/>
  </si>
  <si>
    <t>單價</t>
  </si>
  <si>
    <t>車位價格</t>
  </si>
  <si>
    <t>貸款成數</t>
  </si>
  <si>
    <t>公開銷售</t>
  </si>
  <si>
    <t>交屋時間</t>
  </si>
  <si>
    <t>交屋屋況</t>
  </si>
  <si>
    <t>格局規劃</t>
  </si>
  <si>
    <t>Category</t>
    <phoneticPr fontId="3" type="noConversion"/>
  </si>
  <si>
    <t>建物形態</t>
  </si>
  <si>
    <t>基地地址</t>
  </si>
  <si>
    <t>接待會館</t>
  </si>
  <si>
    <t>投資建設F</t>
    <phoneticPr fontId="3" type="noConversion"/>
  </si>
  <si>
    <t>投資建設</t>
  </si>
  <si>
    <t>營造公司</t>
  </si>
  <si>
    <t>企劃銷售</t>
  </si>
  <si>
    <t>建案特色</t>
  </si>
  <si>
    <t>公設比</t>
  </si>
  <si>
    <t>建蔽率</t>
  </si>
  <si>
    <t>樓層規劃</t>
  </si>
  <si>
    <t>車位規劃</t>
  </si>
  <si>
    <t>管理費用</t>
  </si>
  <si>
    <t>車位配比</t>
  </si>
  <si>
    <t>結構工程</t>
  </si>
  <si>
    <t>基地面積</t>
  </si>
  <si>
    <t>用途規劃</t>
  </si>
  <si>
    <t>土地分區</t>
  </si>
  <si>
    <t>物業公司</t>
  </si>
  <si>
    <t>管委會</t>
  </si>
  <si>
    <t>建造執照</t>
  </si>
  <si>
    <t>建築設計</t>
  </si>
  <si>
    <t>使用執照</t>
  </si>
  <si>
    <t>101</t>
    <phoneticPr fontId="3" type="noConversion"/>
  </si>
  <si>
    <t>和發大境</t>
    <phoneticPr fontId="3" type="noConversion"/>
  </si>
  <si>
    <t>fig/AiCity-939-和發大境.jpg</t>
    <phoneticPr fontId="3" type="noConversion"/>
  </si>
  <si>
    <t>https://newhouse.591.com.tw/home/housing/detail?hid=125726</t>
    <phoneticPr fontId="3" type="noConversion"/>
  </si>
  <si>
    <r>
      <t>170~205萬</t>
    </r>
    <r>
      <rPr>
        <sz val="12"/>
        <color theme="1"/>
        <rFont val="新細明體"/>
        <family val="2"/>
        <charset val="136"/>
        <scheme val="minor"/>
      </rPr>
      <t/>
    </r>
    <phoneticPr fontId="3" type="noConversion"/>
  </si>
  <si>
    <t>銷售中</t>
  </si>
  <si>
    <t>102</t>
    <phoneticPr fontId="3" type="noConversion"/>
  </si>
  <si>
    <t>鴻典</t>
  </si>
  <si>
    <t>fig/AiCity-939-鴻典.jpg</t>
    <phoneticPr fontId="3" type="noConversion"/>
  </si>
  <si>
    <t>https://newhouse.591.com.tw/home/housing/detail?hid=122584&amp;v=720</t>
    <phoneticPr fontId="3" type="noConversion"/>
  </si>
  <si>
    <t>26萬元/坪</t>
  </si>
  <si>
    <t>180~210萬</t>
  </si>
  <si>
    <t>80%</t>
  </si>
  <si>
    <r>
      <t>2022</t>
    </r>
    <r>
      <rPr>
        <sz val="11"/>
        <color rgb="FF000000"/>
        <rFont val="PMingLiU"/>
        <family val="1"/>
        <charset val="136"/>
      </rPr>
      <t>年第一季</t>
    </r>
    <phoneticPr fontId="3" type="noConversion"/>
  </si>
  <si>
    <t>標準配備</t>
  </si>
  <si>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</si>
  <si>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</si>
  <si>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</si>
  <si>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</si>
  <si>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</si>
  <si>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</si>
  <si>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</si>
  <si>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</si>
  <si>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</si>
  <si>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</si>
  <si>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</si>
  <si>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</si>
  <si>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</si>
  <si>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</si>
  <si>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</si>
  <si>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</si>
  <si>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RC</t>
  </si>
  <si>
    <t>1062.93坪</t>
  </si>
  <si>
    <t>住商用</t>
  </si>
  <si>
    <t>第四種住宅區</t>
  </si>
  <si>
    <t>暫無</t>
  </si>
  <si>
    <t>107桃市都建執照字第01412-01號等1個</t>
  </si>
  <si>
    <t>拓璞聯合建築師事務所</t>
  </si>
  <si>
    <t>103</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</si>
  <si>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</si>
  <si>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</si>
  <si>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</si>
  <si>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150~195萬</t>
  </si>
  <si>
    <t>85%</t>
  </si>
  <si>
    <t>隨時交屋</t>
  </si>
  <si>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</si>
  <si>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</si>
  <si>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</si>
  <si>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</si>
  <si>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</si>
  <si>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</si>
  <si>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</si>
  <si>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</si>
  <si>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</si>
  <si>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</si>
  <si>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待定</t>
  </si>
  <si>
    <t>1848.44坪</t>
  </si>
  <si>
    <t>（106)桃市都建執照字第00372號等1個</t>
  </si>
  <si>
    <t>聶玉璞</t>
  </si>
  <si>
    <t>104</t>
  </si>
  <si>
    <t>奇幻莊園</t>
  </si>
  <si>
    <t>fig/AiCity-939-奇幻莊園.jpg</t>
    <phoneticPr fontId="3" type="noConversion"/>
  </si>
  <si>
    <t>https://newhouse.591.com.tw/home/housing/detail?hid=116476&amp;v=720</t>
    <phoneticPr fontId="3" type="noConversion"/>
  </si>
  <si>
    <t>24.5~25.5萬元/坪</t>
  </si>
  <si>
    <t>160~220萬</t>
  </si>
  <si>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</si>
  <si>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</si>
  <si>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</si>
  <si>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</si>
  <si>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</si>
  <si>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</si>
  <si>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</si>
  <si>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</si>
  <si>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</si>
  <si>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</si>
  <si>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</si>
  <si>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</si>
  <si>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</si>
  <si>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</si>
  <si>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</si>
  <si>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105</t>
  </si>
  <si>
    <t>樂田田</t>
    <phoneticPr fontId="3" type="noConversion"/>
  </si>
  <si>
    <t>fig/AiCity-939-樂甜甜.jpg</t>
    <phoneticPr fontId="3" type="noConversion"/>
  </si>
  <si>
    <t>106</t>
  </si>
  <si>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</si>
  <si>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</si>
  <si>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</si>
  <si>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</si>
  <si>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</si>
  <si>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</si>
  <si>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</si>
  <si>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</si>
  <si>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</si>
  <si>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</si>
  <si>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</si>
  <si>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</si>
  <si>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</si>
  <si>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</si>
  <si>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</si>
  <si>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</si>
  <si>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</si>
  <si>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</si>
  <si>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</si>
  <si>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</si>
  <si>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107</t>
  </si>
  <si>
    <t>fig/AiCity-939-台北國際村.jpg</t>
    <phoneticPr fontId="3" type="noConversion"/>
  </si>
  <si>
    <t>https://newhouse.591.com.tw/home/housing/detail?hid=118714&amp;v=720</t>
    <phoneticPr fontId="3" type="noConversion"/>
  </si>
  <si>
    <t>25~26萬元/坪</t>
  </si>
  <si>
    <t>160~195萬</t>
  </si>
  <si>
    <r>
      <t>2021</t>
    </r>
    <r>
      <rPr>
        <sz val="11"/>
        <color rgb="FF000000"/>
        <rFont val="PMingLiU"/>
        <family val="1"/>
        <charset val="136"/>
      </rPr>
      <t>年第一季</t>
    </r>
    <phoneticPr fontId="3"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</si>
  <si>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</si>
  <si>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</si>
  <si>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</si>
  <si>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</si>
  <si>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</si>
  <si>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</si>
  <si>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</si>
  <si>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</si>
  <si>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</si>
  <si>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</si>
  <si>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</si>
  <si>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</si>
  <si>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201</t>
    <phoneticPr fontId="3" type="noConversion"/>
  </si>
  <si>
    <t>富宇上城</t>
  </si>
  <si>
    <t>fig/AiCity-939-富宇上城.jpg</t>
    <phoneticPr fontId="3" type="noConversion"/>
  </si>
  <si>
    <t>https://newhouse.591.com.tw/home/housing/detail?hid=121156&amp;v=720</t>
    <phoneticPr fontId="3" type="noConversion"/>
  </si>
  <si>
    <t>30~35萬元/坪</t>
  </si>
  <si>
    <t>170~205萬</t>
  </si>
  <si>
    <r>
      <t>2023</t>
    </r>
    <r>
      <rPr>
        <sz val="11"/>
        <color rgb="FF000000"/>
        <rFont val="PMingLiU"/>
        <family val="1"/>
        <charset val="136"/>
      </rPr>
      <t>年第一季</t>
    </r>
    <phoneticPr fontId="3"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</si>
  <si>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</si>
  <si>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</si>
  <si>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</si>
  <si>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</si>
  <si>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</si>
  <si>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</si>
  <si>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</si>
  <si>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</si>
  <si>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</si>
  <si>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</si>
  <si>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</si>
  <si>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</si>
  <si>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</si>
  <si>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</si>
  <si>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</si>
  <si>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</si>
  <si>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</si>
  <si>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</si>
  <si>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</si>
  <si>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202</t>
    <phoneticPr fontId="3" type="noConversion"/>
  </si>
  <si>
    <t>禾悅花園</t>
  </si>
  <si>
    <t>fig/AiCity-939-禾悅花園.jpg</t>
    <phoneticPr fontId="3" type="noConversion"/>
  </si>
  <si>
    <t>https://newhouse.591.com.tw/home/housing/detail?hid=122734&amp;v=720</t>
    <phoneticPr fontId="3" type="noConversion"/>
  </si>
  <si>
    <t>28~29萬元/坪</t>
  </si>
  <si>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</si>
  <si>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</si>
  <si>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</si>
  <si>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</si>
  <si>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</si>
  <si>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</si>
  <si>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</si>
  <si>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</si>
  <si>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</si>
  <si>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</si>
  <si>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</si>
  <si>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</si>
  <si>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</si>
  <si>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</si>
  <si>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</si>
  <si>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</si>
  <si>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</si>
  <si>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</si>
  <si>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203</t>
  </si>
  <si>
    <t>fig/AiCity-939-耀台北.jpg</t>
    <phoneticPr fontId="3" type="noConversion"/>
  </si>
  <si>
    <t>https://newhouse.591.com.tw/home/housing/detail?hid=118336&amp;v=720</t>
    <phoneticPr fontId="3"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</si>
  <si>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</si>
  <si>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</si>
  <si>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</si>
  <si>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</si>
  <si>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</si>
  <si>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</si>
  <si>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</si>
  <si>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</si>
  <si>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</si>
  <si>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</si>
  <si>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</si>
  <si>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</si>
  <si>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</si>
  <si>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t>204</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</si>
  <si>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</si>
  <si>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</si>
  <si>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富宇敦峰</t>
  </si>
  <si>
    <t>fig/AiCity-939-富宇敦峰.jpg</t>
    <phoneticPr fontId="3" type="noConversion"/>
  </si>
  <si>
    <t>https://newhouse.591.com.tw/home/housing/detail?hid=116430&amp;v=720</t>
    <phoneticPr fontId="3" type="noConversion"/>
  </si>
  <si>
    <t>30~32萬元/坪</t>
  </si>
  <si>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</si>
  <si>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</si>
  <si>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</si>
  <si>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</si>
  <si>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</si>
  <si>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</si>
  <si>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</si>
  <si>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</si>
  <si>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</si>
  <si>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</si>
  <si>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</si>
  <si>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</si>
  <si>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</si>
  <si>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</si>
  <si>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</si>
  <si>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</si>
  <si>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</si>
  <si>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</si>
  <si>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</si>
  <si>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</si>
  <si>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二房(21~28坪)、三房(30~46坪)</t>
  </si>
  <si>
    <t>桃園市龜山區文化一路&amp;樂安街路口</t>
  </si>
  <si>
    <t>桃園市龜山區文化一路&amp;文樂路口</t>
  </si>
  <si>
    <t>允泰開發有限公司</t>
  </si>
  <si>
    <t>允泰開發</t>
  </si>
  <si>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</si>
  <si>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</si>
  <si>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</si>
  <si>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</si>
  <si>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</si>
  <si>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</si>
  <si>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</si>
  <si>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</si>
  <si>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</si>
  <si>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</si>
  <si>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</si>
  <si>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</si>
  <si>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</si>
  <si>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302</t>
    <phoneticPr fontId="3" type="noConversion"/>
  </si>
  <si>
    <t>竹城甲子園</t>
  </si>
  <si>
    <t>fig/AiCity-939-竹城甲子園.jpg</t>
    <phoneticPr fontId="3" type="noConversion"/>
  </si>
  <si>
    <t>https://newhouse.591.com.tw/home/housing/detail?hid=119261&amp;v=720</t>
    <phoneticPr fontId="3" type="noConversion"/>
  </si>
  <si>
    <t>2021年下半度</t>
  </si>
  <si>
    <t>二房(26~28坪) 、三房(36~39坪) 、四房(43~49坪) 、2+1房(26~29坪)</t>
  </si>
  <si>
    <t>桃園市龜山區文化一路、文桃路口</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</si>
  <si>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</si>
  <si>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</si>
  <si>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</si>
  <si>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</si>
  <si>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</si>
  <si>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</si>
  <si>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</si>
  <si>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</si>
  <si>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</si>
  <si>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</si>
  <si>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</si>
  <si>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</si>
  <si>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</si>
  <si>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閤康聯合建築師事務所</t>
  </si>
  <si>
    <t>允將大作</t>
    <phoneticPr fontId="3" type="noConversion"/>
  </si>
  <si>
    <t>fig/AiCity-939-允將大作.jpg</t>
    <phoneticPr fontId="3" type="noConversion"/>
  </si>
  <si>
    <t>欣時代</t>
  </si>
  <si>
    <t>fig/AiCity-939-欣時代.jpg</t>
    <phoneticPr fontId="3" type="noConversion"/>
  </si>
  <si>
    <t>https://newhouse.591.com.tw/home/housing/detail?hid=118905</t>
    <phoneticPr fontId="3" type="noConversion"/>
  </si>
  <si>
    <r>
      <t>2023</t>
    </r>
    <r>
      <rPr>
        <sz val="11"/>
        <color rgb="FF000000"/>
        <rFont val="PMingLiU"/>
        <family val="1"/>
        <charset val="136"/>
      </rPr>
      <t>年下半年</t>
    </r>
    <phoneticPr fontId="3" type="noConversion"/>
  </si>
  <si>
    <t>三房(31~35坪) 、2+1房(26~29坪)</t>
  </si>
  <si>
    <t>桃園市龜山區文化一路.華亞三路交叉口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</si>
  <si>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</si>
  <si>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</si>
  <si>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</si>
  <si>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</si>
  <si>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</si>
  <si>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</si>
  <si>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</si>
  <si>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</si>
  <si>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</si>
  <si>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</si>
  <si>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</si>
  <si>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</si>
  <si>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</si>
  <si>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</si>
  <si>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</si>
  <si>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</si>
  <si>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</si>
  <si>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</si>
  <si>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</si>
  <si>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</si>
  <si>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</si>
  <si>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</si>
  <si>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</si>
  <si>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</si>
  <si>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</si>
  <si>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</si>
  <si>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</si>
  <si>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</si>
  <si>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</si>
  <si>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</si>
  <si>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</si>
  <si>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</si>
  <si>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</si>
  <si>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306</t>
    <phoneticPr fontId="3" type="noConversion"/>
  </si>
  <si>
    <t>金捷市</t>
  </si>
  <si>
    <t>fig/AiCity-939-金捷市.jpg</t>
    <phoneticPr fontId="3" type="noConversion"/>
  </si>
  <si>
    <t>https://newhouse.591.com.tw/home/housing/detail?hid=116107&amp;v=720</t>
    <phoneticPr fontId="3" type="noConversion"/>
  </si>
  <si>
    <t>30.5萬元/坪</t>
  </si>
  <si>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</si>
  <si>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</si>
  <si>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</si>
  <si>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</si>
  <si>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</si>
  <si>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</si>
  <si>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</si>
  <si>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</si>
  <si>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</si>
  <si>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</si>
  <si>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</si>
  <si>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</si>
  <si>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307</t>
    <phoneticPr fontId="3" type="noConversion"/>
  </si>
  <si>
    <t>華悅城</t>
    <phoneticPr fontId="3" type="noConversion"/>
  </si>
  <si>
    <t>fig/AiCity-939-華悅城.jpg</t>
    <phoneticPr fontId="3" type="noConversion"/>
  </si>
  <si>
    <t>308</t>
    <phoneticPr fontId="3" type="noConversion"/>
  </si>
  <si>
    <t>根津苑</t>
  </si>
  <si>
    <t>fig/AiCity-939-根津苑.jpg</t>
    <phoneticPr fontId="3" type="noConversion"/>
  </si>
  <si>
    <t>https://newhouse.591.com.tw/home/housing/detail?hid=118143&amp;v=720</t>
    <phoneticPr fontId="3" type="noConversion"/>
  </si>
  <si>
    <t>24~26萬元/坪</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</si>
  <si>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</si>
  <si>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</si>
  <si>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</si>
  <si>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</si>
  <si>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</si>
  <si>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</si>
  <si>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</si>
  <si>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</si>
  <si>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</si>
  <si>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第五種住宅區</t>
  </si>
  <si>
    <t>(107)桃市都建執照字第會龜00667號等1個</t>
  </si>
  <si>
    <t>309</t>
    <phoneticPr fontId="3" type="noConversion"/>
  </si>
  <si>
    <t>新潤鉑麗</t>
    <phoneticPr fontId="3" type="noConversion"/>
  </si>
  <si>
    <t>fig/AiCity-939-新潤鉑麗.jpg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</si>
  <si>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</si>
  <si>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</si>
  <si>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</si>
  <si>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</si>
  <si>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</si>
  <si>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</si>
  <si>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</si>
  <si>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</si>
  <si>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</si>
  <si>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</si>
  <si>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</si>
  <si>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</si>
  <si>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</si>
  <si>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</si>
  <si>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</si>
  <si>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</si>
  <si>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</si>
  <si>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</si>
  <si>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</si>
  <si>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</si>
  <si>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</si>
  <si>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</si>
  <si>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</si>
  <si>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</si>
  <si>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</si>
  <si>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</si>
  <si>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</si>
  <si>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</si>
  <si>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</si>
  <si>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</si>
  <si>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</si>
  <si>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</si>
  <si>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君邑丘比特</t>
    <phoneticPr fontId="3" type="noConversion"/>
  </si>
  <si>
    <t>fig/AiCity-939-邱比特.jpg</t>
    <phoneticPr fontId="3" type="noConversion"/>
  </si>
  <si>
    <t>https://newhouse.591.com.tw/home/housing/detail?hid=121781&amp;</t>
    <phoneticPr fontId="3" type="noConversion"/>
  </si>
  <si>
    <t>27.8~32萬元/坪</t>
    <phoneticPr fontId="3" type="noConversion"/>
  </si>
  <si>
    <t>180~230萬</t>
    <phoneticPr fontId="3" type="noConversion"/>
  </si>
  <si>
    <t>2022年上半年</t>
    <phoneticPr fontId="3" type="noConversion"/>
  </si>
  <si>
    <t>二房(25~28坪) 、三房(38~40坪) 、四房(47坪) 、3+1房(46坪)</t>
    <phoneticPr fontId="3" type="noConversion"/>
  </si>
  <si>
    <t>預售屋</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</si>
  <si>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</si>
  <si>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</si>
  <si>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</si>
  <si>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</si>
  <si>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</si>
  <si>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</si>
  <si>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</si>
  <si>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</si>
  <si>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</si>
  <si>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</si>
  <si>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</si>
  <si>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1030.74坪</t>
    <phoneticPr fontId="3" type="noConversion"/>
  </si>
  <si>
    <t>第三種住宅區</t>
  </si>
  <si>
    <t>108桃市都建執照字第00488-01號等1個</t>
    <phoneticPr fontId="3" type="noConversion"/>
  </si>
  <si>
    <t>拓璞聯合建築師事務所</t>
    <phoneticPr fontId="3" type="noConversion"/>
  </si>
  <si>
    <t>友文化</t>
    <phoneticPr fontId="3" type="noConversion"/>
  </si>
  <si>
    <t>fig/AiCity-939-友文化.jpg</t>
    <phoneticPr fontId="3"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</si>
  <si>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</si>
  <si>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</si>
  <si>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新未來2</t>
    <phoneticPr fontId="3" type="noConversion"/>
  </si>
  <si>
    <t>fig/AiCity-939-新未來2.jpg</t>
    <phoneticPr fontId="3" type="noConversion"/>
  </si>
  <si>
    <t>fig/AiCity-939-富宇哈佛苑.jpg</t>
    <phoneticPr fontId="3" type="noConversion"/>
  </si>
  <si>
    <t>https://newhouse.591.com.tw/home/housing/detail?hid=121157&amp;v=720</t>
    <phoneticPr fontId="3"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</si>
  <si>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</si>
  <si>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</si>
  <si>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</si>
  <si>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</si>
  <si>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</si>
  <si>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</si>
  <si>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</si>
  <si>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</si>
  <si>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</si>
  <si>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</si>
  <si>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</si>
  <si>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404</t>
    <phoneticPr fontId="3" type="noConversion"/>
  </si>
  <si>
    <t>和洲金剛</t>
  </si>
  <si>
    <t>fig/AiCity-939-和洲金剛.jpg</t>
    <phoneticPr fontId="3" type="noConversion"/>
  </si>
  <si>
    <t>https://newhouse.591.com.tw/home/housing/detail?hid=122486&amp;v=720</t>
    <phoneticPr fontId="3"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</si>
  <si>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</si>
  <si>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</si>
  <si>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</si>
  <si>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</si>
  <si>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</si>
  <si>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</si>
  <si>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</si>
  <si>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</si>
  <si>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</si>
  <si>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</si>
  <si>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</si>
  <si>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1359.03坪</t>
  </si>
  <si>
    <t>國原保全</t>
  </si>
  <si>
    <t>108桃市都建執照字第00611號等1個</t>
  </si>
  <si>
    <t>405</t>
    <phoneticPr fontId="3" type="noConversion"/>
  </si>
  <si>
    <t>新A7</t>
    <phoneticPr fontId="3" type="noConversion"/>
  </si>
  <si>
    <t>fig/AiCity-939-新A7.jpg</t>
    <phoneticPr fontId="3" type="noConversion"/>
  </si>
  <si>
    <t>406</t>
    <phoneticPr fontId="3" type="noConversion"/>
  </si>
  <si>
    <t>詠勝市中欣</t>
  </si>
  <si>
    <t>fig/AiCity-939-詠勝市中欣.jpg</t>
    <phoneticPr fontId="3" type="noConversion"/>
  </si>
  <si>
    <t>https://newhouse.591.com.tw/home/housing/detail?hid=120096&amp;v=720</t>
    <phoneticPr fontId="3" type="noConversion"/>
  </si>
  <si>
    <t>27~32萬元/坪</t>
  </si>
  <si>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</si>
  <si>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</si>
  <si>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</si>
  <si>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</si>
  <si>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</si>
  <si>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</si>
  <si>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</si>
  <si>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</si>
  <si>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</si>
  <si>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</si>
  <si>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</si>
  <si>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</si>
  <si>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</si>
  <si>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</si>
  <si>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</si>
  <si>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</si>
  <si>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</si>
  <si>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408</t>
    <phoneticPr fontId="3" type="noConversion"/>
  </si>
  <si>
    <t>頤昌豐岳</t>
    <phoneticPr fontId="3" type="noConversion"/>
  </si>
  <si>
    <t>fig/AiCity-939-頤昌豐岳.jpg</t>
    <phoneticPr fontId="3" type="noConversion"/>
  </si>
  <si>
    <t>409</t>
    <phoneticPr fontId="3" type="noConversion"/>
  </si>
  <si>
    <t>富御捷境</t>
  </si>
  <si>
    <t>fig/AiCity-939-富御捷境.jpg</t>
    <phoneticPr fontId="3" type="noConversion"/>
  </si>
  <si>
    <t>https://newhouse.591.com.tw/home/housing/detail?hid=116475</t>
    <phoneticPr fontId="3"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</si>
  <si>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</si>
  <si>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</si>
  <si>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</si>
  <si>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</si>
  <si>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</si>
  <si>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</si>
  <si>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</si>
  <si>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</si>
  <si>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</si>
  <si>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</si>
  <si>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</si>
  <si>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</si>
  <si>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410</t>
    <phoneticPr fontId="3" type="noConversion"/>
  </si>
  <si>
    <t>鴻築捷市達</t>
  </si>
  <si>
    <t>fig/AiCity-939-鴻築捷市達.jpg</t>
    <phoneticPr fontId="3" type="noConversion"/>
  </si>
  <si>
    <t>https://newhouse.591.com.tw/home/housing/detail?hid=122649&amp;v=720</t>
    <phoneticPr fontId="3" type="noConversion"/>
  </si>
  <si>
    <t>35~38萬元/坪</t>
  </si>
  <si>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</si>
  <si>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</si>
  <si>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</si>
  <si>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</si>
  <si>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</si>
  <si>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</si>
  <si>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</si>
  <si>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</si>
  <si>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</si>
  <si>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</si>
  <si>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</si>
  <si>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</si>
  <si>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</si>
  <si>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</si>
  <si>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411</t>
    <phoneticPr fontId="3" type="noConversion"/>
  </si>
  <si>
    <t>竹城明治</t>
  </si>
  <si>
    <t>fig/AiCity-939-竹城明治.jpg</t>
    <phoneticPr fontId="3" type="noConversion"/>
  </si>
  <si>
    <t>https://newhouse.591.com.tw/home/housing/detail?hid=120762</t>
    <phoneticPr fontId="3" type="noConversion"/>
  </si>
  <si>
    <t>28~30萬元/坪</t>
  </si>
  <si>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</si>
  <si>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</si>
  <si>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</si>
  <si>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</si>
  <si>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</si>
  <si>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</si>
  <si>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</si>
  <si>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</si>
  <si>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</si>
  <si>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</si>
  <si>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</si>
  <si>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412</t>
    <phoneticPr fontId="3" type="noConversion"/>
  </si>
  <si>
    <t>新未來1</t>
    <phoneticPr fontId="3" type="noConversion"/>
  </si>
  <si>
    <t>fig/AiCity-939-新未來1.jpg</t>
    <phoneticPr fontId="3"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</si>
  <si>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</si>
  <si>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</si>
  <si>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2022年下半年</t>
    <phoneticPr fontId="2" type="noConversion"/>
  </si>
  <si>
    <t>二房(26~28坪) 、三房(39~40坪) 、四房(44坪) 、2+1房(33坪)</t>
    <phoneticPr fontId="2" type="noConversion"/>
  </si>
  <si>
    <t>預售屋</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</si>
  <si>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</si>
  <si>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</si>
  <si>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</si>
  <si>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</si>
  <si>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</si>
  <si>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</si>
  <si>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</si>
  <si>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</si>
  <si>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</si>
  <si>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</si>
  <si>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</si>
  <si>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1:1.09</t>
    <phoneticPr fontId="2" type="noConversion"/>
  </si>
  <si>
    <t>1586.57坪</t>
    <phoneticPr fontId="2" type="noConversion"/>
  </si>
  <si>
    <t>108桃市都建執照字第00546-01號</t>
    <phoneticPr fontId="2" type="noConversion"/>
  </si>
  <si>
    <t>拓璞聯合建築師事務所(聶玉璞)</t>
    <phoneticPr fontId="2" type="noConversion"/>
  </si>
  <si>
    <t>https://newhouse.591.com.tw/home/housing/detail?hid=121200&amp;v=720</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</si>
  <si>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</si>
  <si>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</si>
  <si>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</si>
  <si>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</si>
  <si>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</si>
  <si>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</si>
  <si>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</si>
  <si>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</si>
  <si>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</si>
  <si>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</si>
  <si>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</si>
  <si>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</si>
  <si>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</si>
  <si>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</si>
  <si>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</si>
  <si>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</si>
  <si>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</si>
  <si>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</si>
  <si>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</si>
  <si>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https://newhouse.591.com.tw/home/housing/detail?hid=118186</t>
  </si>
  <si>
    <t>25~26萬元/坪</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</si>
  <si>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</si>
  <si>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</si>
  <si>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</si>
  <si>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</si>
  <si>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</si>
  <si>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</si>
  <si>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</si>
  <si>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</si>
  <si>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</si>
  <si>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</si>
  <si>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</si>
  <si>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</si>
  <si>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1:1</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</si>
  <si>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</si>
  <si>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</si>
  <si>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</si>
  <si>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</si>
  <si>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https://newhouse.591.com.tw/home/housing/detail?hid=124450</t>
    <phoneticPr fontId="2" type="noConversion"/>
  </si>
  <si>
    <t>35~38萬元/坪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</si>
  <si>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</si>
  <si>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</si>
  <si>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</si>
  <si>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</si>
  <si>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</si>
  <si>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</si>
  <si>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</si>
  <si>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</si>
  <si>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</si>
  <si>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</si>
  <si>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</si>
  <si>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</si>
  <si>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</si>
  <si>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</si>
  <si>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1:1.01</t>
    <phoneticPr fontId="2" type="noConversion"/>
  </si>
  <si>
    <t>1554.48坪</t>
    <phoneticPr fontId="2" type="noConversion"/>
  </si>
  <si>
    <t>中心商業區</t>
    <phoneticPr fontId="2" type="noConversion"/>
  </si>
  <si>
    <t>106桃市都建執照字第00391-01號</t>
    <phoneticPr fontId="2" type="noConversion"/>
  </si>
  <si>
    <t>王銘鴻建築師事務所</t>
    <phoneticPr fontId="2" type="noConversion"/>
  </si>
  <si>
    <t>30~31萬元/坪</t>
    <phoneticPr fontId="2" type="noConversion"/>
  </si>
  <si>
    <t>https://newhouse.591.com.tw/home/housing/info?hid=121155</t>
    <phoneticPr fontId="2" type="noConversion"/>
  </si>
  <si>
    <t>195~215萬</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</si>
  <si>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</si>
  <si>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</si>
  <si>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</si>
  <si>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</si>
  <si>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</si>
  <si>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</si>
  <si>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</si>
  <si>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</si>
  <si>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</si>
  <si>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</si>
  <si>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</si>
  <si>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</si>
  <si>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</si>
  <si>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</si>
  <si>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</si>
  <si>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</si>
  <si>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</si>
  <si>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</si>
  <si>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</si>
  <si>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</si>
  <si>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</si>
  <si>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</si>
  <si>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</si>
  <si>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近捷運、明星學區、近公園、重劃區</t>
    <phoneticPr fontId="2" type="noConversion"/>
  </si>
  <si>
    <t>2幢，3棟，582戶住家，16戶店面</t>
    <phoneticPr fontId="2" type="noConversion"/>
  </si>
  <si>
    <t>地上19、22層，地下5層</t>
    <phoneticPr fontId="2" type="noConversion"/>
  </si>
  <si>
    <t>平面式598個</t>
    <phoneticPr fontId="2" type="noConversion"/>
  </si>
  <si>
    <t>待定</t>
    <phoneticPr fontId="2" type="noConversion"/>
  </si>
  <si>
    <t>2513.22坪</t>
    <phoneticPr fontId="2" type="noConversion"/>
  </si>
  <si>
    <t>109桃市都建執照字第00076號</t>
    <phoneticPr fontId="2" type="noConversion"/>
  </si>
  <si>
    <t>三門聯合建築師事務所</t>
    <phoneticPr fontId="2"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</si>
  <si>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</si>
  <si>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</si>
  <si>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</si>
  <si>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</si>
  <si>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</si>
  <si>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</si>
  <si>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2棟，376戶住家，9戶店面</t>
    <phoneticPr fontId="2" type="noConversion"/>
  </si>
  <si>
    <t>地上22層，地下4層</t>
    <phoneticPr fontId="2" type="noConversion"/>
  </si>
  <si>
    <t>平面式438個</t>
    <phoneticPr fontId="2" type="noConversion"/>
  </si>
  <si>
    <t>1:1.14</t>
    <phoneticPr fontId="2" type="noConversion"/>
  </si>
  <si>
    <t>1955.56坪</t>
    <phoneticPr fontId="2" type="noConversion"/>
  </si>
  <si>
    <t>(107)桃市字第會龜00687號</t>
    <phoneticPr fontId="2" type="noConversion"/>
  </si>
  <si>
    <t>李祖原聯合建築師事務所</t>
    <phoneticPr fontId="2" type="noConversion"/>
  </si>
  <si>
    <t>https://newhouse.591.com.tw/home/housing/detail?hid=122651</t>
    <phoneticPr fontId="2" type="noConversion"/>
  </si>
  <si>
    <t>31~33萬元/坪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</si>
  <si>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</si>
  <si>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</si>
  <si>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</si>
  <si>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</si>
  <si>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</si>
  <si>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</si>
  <si>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</si>
  <si>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</si>
  <si>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</si>
  <si>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</si>
  <si>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</si>
  <si>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</si>
  <si>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</si>
  <si>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平面式190個</t>
    <phoneticPr fontId="2" type="noConversion"/>
  </si>
  <si>
    <t>第三種住宅區</t>
    <phoneticPr fontId="2"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</si>
  <si>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</si>
  <si>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</si>
  <si>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</si>
  <si>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</si>
  <si>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</si>
  <si>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</si>
  <si>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</si>
  <si>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</si>
  <si>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</si>
  <si>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</si>
  <si>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</si>
  <si>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</si>
  <si>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1:1.17</t>
    <phoneticPr fontId="2" type="noConversion"/>
  </si>
  <si>
    <t>933.78坪</t>
    <phoneticPr fontId="2" type="noConversion"/>
  </si>
  <si>
    <t>108桃市都建執照字第01005-01號</t>
    <phoneticPr fontId="2" type="noConversion"/>
  </si>
  <si>
    <t>陳朝雄建築師事務所</t>
    <phoneticPr fontId="2" type="noConversion"/>
  </si>
  <si>
    <t>https://newhouse.591.com.tw/home/housing/detail?hid=113056</t>
    <phoneticPr fontId="2" type="noConversion"/>
  </si>
  <si>
    <t>已完銷</t>
    <phoneticPr fontId="2" type="noConversion"/>
  </si>
  <si>
    <t>2021年下半年</t>
    <phoneticPr fontId="2" type="noConversion"/>
  </si>
  <si>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</si>
  <si>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</si>
  <si>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</si>
  <si>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</si>
  <si>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地上28層，地下5層</t>
    <phoneticPr fontId="2" type="noConversion"/>
  </si>
  <si>
    <t>平面式648個、機械式84個</t>
    <phoneticPr fontId="2" type="noConversion"/>
  </si>
  <si>
    <t>60元/坪/月</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</si>
  <si>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</si>
  <si>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</si>
  <si>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</si>
  <si>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</si>
  <si>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https://newhouse.591.com.tw/home/housing/detail?hid=121159&amp;v=720</t>
    <phoneticPr fontId="2" type="noConversion"/>
  </si>
  <si>
    <t>39~43萬元/坪</t>
    <phoneticPr fontId="2" type="noConversion"/>
  </si>
  <si>
    <t>160~205萬</t>
    <phoneticPr fontId="2" type="noConversion"/>
  </si>
  <si>
    <t>2023年第二季度</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</si>
  <si>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</si>
  <si>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</si>
  <si>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</si>
  <si>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</si>
  <si>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</si>
  <si>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</si>
  <si>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</si>
  <si>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</si>
  <si>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</si>
  <si>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70元/坪/月</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</si>
  <si>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</si>
  <si>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</si>
  <si>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</si>
  <si>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</si>
  <si>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https://newhouse.591.com.tw/home/housing/detail?hid=120741</t>
    <phoneticPr fontId="2" type="noConversion"/>
  </si>
  <si>
    <t>26~30萬元/坪</t>
    <phoneticPr fontId="2" type="noConversion"/>
  </si>
  <si>
    <t>150~195萬</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</si>
  <si>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</si>
  <si>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</si>
  <si>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</si>
  <si>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</si>
  <si>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</si>
  <si>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</si>
  <si>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</si>
  <si>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</si>
  <si>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</si>
  <si>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</si>
  <si>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</si>
  <si>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</si>
  <si>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</si>
  <si>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</si>
  <si>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https://newhouse.591.com.tw/home/housing/detail?hid=119614</t>
    <phoneticPr fontId="2" type="noConversion"/>
  </si>
  <si>
    <t>27~29萬元/坪</t>
    <phoneticPr fontId="2" type="noConversion"/>
  </si>
  <si>
    <t>165~190萬</t>
    <phoneticPr fontId="2" type="noConversion"/>
  </si>
  <si>
    <t>隨時交屋</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</si>
  <si>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</si>
  <si>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</si>
  <si>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</si>
  <si>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</si>
  <si>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</si>
  <si>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</si>
  <si>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</si>
  <si>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</si>
  <si>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</si>
  <si>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</si>
  <si>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</si>
  <si>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</si>
  <si>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</si>
  <si>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28~29 萬/坪</t>
    <phoneticPr fontId="3" type="noConversion"/>
  </si>
  <si>
    <t>Category1</t>
    <phoneticPr fontId="2" type="noConversion"/>
  </si>
  <si>
    <t>A7XLK</t>
    <phoneticPr fontId="2" type="noConversion"/>
  </si>
  <si>
    <t>fig/AiCity-939-富宇悅峰.jpg</t>
    <phoneticPr fontId="3" type="noConversion"/>
  </si>
  <si>
    <t>富宇哈佛苑</t>
    <phoneticPr fontId="2" type="noConversion"/>
  </si>
  <si>
    <t>205</t>
    <phoneticPr fontId="2" type="noConversion"/>
  </si>
  <si>
    <t>206</t>
    <phoneticPr fontId="3" type="noConversion"/>
  </si>
  <si>
    <t>401</t>
    <phoneticPr fontId="2" type="noConversion"/>
  </si>
  <si>
    <t>402</t>
    <phoneticPr fontId="2" type="noConversion"/>
  </si>
  <si>
    <t>301</t>
    <phoneticPr fontId="2" type="noConversion"/>
  </si>
  <si>
    <t>303</t>
    <phoneticPr fontId="2" type="noConversion"/>
  </si>
  <si>
    <t>304</t>
    <phoneticPr fontId="2" type="noConversion"/>
  </si>
  <si>
    <t>305</t>
    <phoneticPr fontId="2" type="noConversion"/>
  </si>
  <si>
    <t>403</t>
    <phoneticPr fontId="2" type="noConversion"/>
  </si>
  <si>
    <t>407</t>
    <phoneticPr fontId="2" type="noConversion"/>
  </si>
  <si>
    <t>502</t>
    <phoneticPr fontId="3" type="noConversion"/>
  </si>
  <si>
    <t>501</t>
    <phoneticPr fontId="2" type="noConversion"/>
  </si>
  <si>
    <t>503</t>
    <phoneticPr fontId="3" type="noConversion"/>
  </si>
  <si>
    <t>棟戶規劃</t>
    <phoneticPr fontId="2" type="noConversion"/>
  </si>
  <si>
    <t>207</t>
    <phoneticPr fontId="2" type="noConversion"/>
  </si>
  <si>
    <t>和耀恆美</t>
    <phoneticPr fontId="2" type="noConversion"/>
  </si>
  <si>
    <t>310</t>
    <phoneticPr fontId="2" type="noConversion"/>
  </si>
  <si>
    <t>水悅青青</t>
    <phoneticPr fontId="2" type="noConversion"/>
  </si>
  <si>
    <t>311</t>
    <phoneticPr fontId="2" type="noConversion"/>
  </si>
  <si>
    <t>文華天際</t>
    <phoneticPr fontId="2" type="noConversion"/>
  </si>
  <si>
    <t>頤昌璞岳</t>
    <phoneticPr fontId="2" type="noConversion"/>
  </si>
  <si>
    <t>413</t>
    <phoneticPr fontId="2" type="noConversion"/>
  </si>
  <si>
    <t>504</t>
    <phoneticPr fontId="2" type="noConversion"/>
  </si>
  <si>
    <t>櫻花澍</t>
    <phoneticPr fontId="2" type="noConversion"/>
  </si>
  <si>
    <t>fig/AiCity-939-和耀恆美.jpeg</t>
    <phoneticPr fontId="2" type="noConversion"/>
  </si>
  <si>
    <t>fig/AiCity-939-頤昌璞岳.jpeg</t>
    <phoneticPr fontId="2" type="noConversion"/>
  </si>
  <si>
    <t>fig/AiCity-939-櫻花澍.webp</t>
    <phoneticPr fontId="2" type="noConversion"/>
  </si>
  <si>
    <t>https://newhouse.591.com.tw/home/housing/detail?hid=127139</t>
    <phoneticPr fontId="2" type="noConversion"/>
  </si>
  <si>
    <t xml:space="preserve">27 萬/坪 </t>
    <phoneticPr fontId="2" type="noConversion"/>
  </si>
  <si>
    <t>115~217萬</t>
    <phoneticPr fontId="2" type="noConversion"/>
  </si>
  <si>
    <t>尚未開賣</t>
    <phoneticPr fontId="2" type="noConversion"/>
  </si>
  <si>
    <t>時間待定</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</si>
  <si>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</si>
  <si>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</si>
  <si>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</si>
  <si>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</si>
  <si>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</si>
  <si>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</si>
  <si>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</si>
  <si>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</si>
  <si>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</si>
  <si>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</si>
  <si>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https://newhouse.591.com.tw/home/housing/detail?hid=125625</t>
    <phoneticPr fontId="2" type="noConversion"/>
  </si>
  <si>
    <t>29~31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</si>
  <si>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</si>
  <si>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</si>
  <si>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</si>
  <si>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</si>
  <si>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</si>
  <si>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</si>
  <si>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</si>
  <si>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</si>
  <si>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</si>
  <si>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</si>
  <si>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</si>
  <si>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</si>
  <si>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</si>
  <si>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https://newhouse.591.com.tw/home/housing/detail?hid=122650&amp;v=720</t>
    <phoneticPr fontId="2" type="noConversion"/>
  </si>
  <si>
    <t>28~33 萬/坪</t>
    <phoneticPr fontId="2" type="noConversion"/>
  </si>
  <si>
    <t>待訂</t>
    <phoneticPr fontId="2" type="noConversion"/>
  </si>
  <si>
    <t>2022年第二季度</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</si>
  <si>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</si>
  <si>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</si>
  <si>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</si>
  <si>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</si>
  <si>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</si>
  <si>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</si>
  <si>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</si>
  <si>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</si>
  <si>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</si>
  <si>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</si>
  <si>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1309.14坪</t>
    <phoneticPr fontId="2" type="noConversion"/>
  </si>
  <si>
    <t>107桃市都建執照字第00925-01號</t>
    <phoneticPr fontId="2" type="noConversion"/>
  </si>
  <si>
    <t>https://newhouse.591.com.tw/home/housing/detail?hid=124978</t>
    <phoneticPr fontId="2" type="noConversion"/>
  </si>
  <si>
    <t>2022年第三季度</t>
    <phoneticPr fontId="2" type="noConversion"/>
  </si>
  <si>
    <t>32~33 萬/坪</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</si>
  <si>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</si>
  <si>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</si>
  <si>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</si>
  <si>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https://newhouse.591.com.tw/home/housing/detail?hid=124447</t>
    <phoneticPr fontId="2" type="noConversion"/>
  </si>
  <si>
    <t>28~32 萬/坪</t>
    <phoneticPr fontId="2" type="noConversion"/>
  </si>
  <si>
    <t>165~195萬</t>
    <phoneticPr fontId="2" type="noConversion"/>
  </si>
  <si>
    <t>二房(25坪) 、 三房(35坪)</t>
    <phoneticPr fontId="2" type="noConversion"/>
  </si>
  <si>
    <t>櫻花建設股份有限公司</t>
    <phoneticPr fontId="2" type="noConversion"/>
  </si>
  <si>
    <t>櫻花建設</t>
    <phoneticPr fontId="2" type="noConversion"/>
  </si>
  <si>
    <t>桃園市龜山區文青二路</t>
    <phoneticPr fontId="2" type="noConversion"/>
  </si>
  <si>
    <t xml:space="preserve">桃園市龜山區文青路179號1F </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</si>
  <si>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</si>
  <si>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</si>
  <si>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</si>
  <si>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地上14層，地下4層</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</si>
  <si>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</si>
  <si>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</si>
  <si>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</si>
  <si>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</si>
  <si>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fig/AiCity-939-水悅青青.webp</t>
    <phoneticPr fontId="2" type="noConversion"/>
  </si>
  <si>
    <t>竹城宇治</t>
    <phoneticPr fontId="2" type="noConversion"/>
  </si>
  <si>
    <t>505</t>
    <phoneticPr fontId="2" type="noConversion"/>
  </si>
  <si>
    <t>遠雄文青</t>
    <phoneticPr fontId="2" type="noConversion"/>
  </si>
  <si>
    <t>506</t>
  </si>
  <si>
    <t>507</t>
  </si>
  <si>
    <t>508</t>
  </si>
  <si>
    <t>509</t>
  </si>
  <si>
    <t>皇翔歡喜城</t>
    <phoneticPr fontId="2" type="noConversion"/>
  </si>
  <si>
    <t>名軒快樂家</t>
    <phoneticPr fontId="2" type="noConversion"/>
  </si>
  <si>
    <t>麗寶快樂家</t>
    <phoneticPr fontId="2" type="noConversion"/>
  </si>
  <si>
    <t>fig/AiCity-939-竹城宇治.jpg</t>
    <phoneticPr fontId="2" type="noConversion"/>
  </si>
  <si>
    <t>fig/AiCity-939-遠雄文青.jpg</t>
    <phoneticPr fontId="2" type="noConversion"/>
  </si>
  <si>
    <t>fig/AiCity-939-皇翔歡喜城.jpg</t>
    <phoneticPr fontId="2" type="noConversion"/>
  </si>
  <si>
    <t>fig/AiCity-939-名軒快樂家.jpg</t>
    <phoneticPr fontId="2" type="noConversion"/>
  </si>
  <si>
    <t>fig/AiCity-939-麗寶快樂家.jpg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</si>
  <si>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</si>
  <si>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</si>
  <si>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</si>
  <si>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</si>
  <si>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</si>
  <si>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</si>
  <si>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</si>
  <si>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</si>
  <si>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</si>
  <si>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</si>
  <si>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</si>
  <si>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</si>
  <si>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</si>
  <si>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</si>
  <si>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</si>
  <si>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皇翔建設</t>
    <phoneticPr fontId="2" type="noConversion"/>
  </si>
  <si>
    <t>名軒開發</t>
    <phoneticPr fontId="2" type="noConversion"/>
  </si>
  <si>
    <t>麗寶建設</t>
    <phoneticPr fontId="2" type="noConversion"/>
  </si>
  <si>
    <t>https://www.farglory-land.com.tw/leasehold/%E9%81%A0%E9%9B%84%E6%99%82%E4%BB%A3%E7%B8%BD%E9%83%A8-2/</t>
    <phoneticPr fontId="2" type="noConversion"/>
  </si>
  <si>
    <t>園市龜山區文青二路9-11號</t>
    <phoneticPr fontId="2" type="noConversion"/>
  </si>
  <si>
    <t>https://www.uppercity.tw/</t>
    <phoneticPr fontId="2" type="noConversion"/>
  </si>
  <si>
    <t>桃園市龜山區文青路179號</t>
    <phoneticPr fontId="2" type="noConversion"/>
  </si>
  <si>
    <t>https://www.advancetek.com.tw/%E7%86%B1%E9%8A%B7%E5%80%8B%E6%A1%88/%E5%90%8D%E8%BB%92%E5%BF%AB%E6%A8%82%E5%AE%B6%E5%90%88%E5%AE%9C%E4%BD%8F%E5%AE%85a7_c%E5%9F%BA%E5%9C%B0/</t>
    <phoneticPr fontId="2" type="noConversion"/>
  </si>
  <si>
    <t>桃園市龜山區文學路237-247號號</t>
    <phoneticPr fontId="2" type="noConversion"/>
  </si>
  <si>
    <t>http://lihpao.com.tw/appropriate/build.html</t>
    <phoneticPr fontId="2" type="noConversion"/>
  </si>
  <si>
    <t>桃園市龜山區文青一路12號</t>
    <phoneticPr fontId="2" type="noConversion"/>
  </si>
  <si>
    <t>414</t>
  </si>
  <si>
    <t>合謙學</t>
    <phoneticPr fontId="2" type="noConversion"/>
  </si>
  <si>
    <t>32~35 萬/坪</t>
    <phoneticPr fontId="2" type="noConversion"/>
  </si>
  <si>
    <t>fig/AiCity-939-合謙學.webp</t>
    <phoneticPr fontId="2" type="noConversion"/>
  </si>
  <si>
    <t>https://newhouse.591.com.tw/home/housing/detail?hid=126450</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</si>
  <si>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</si>
  <si>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</si>
  <si>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</si>
  <si>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</si>
  <si>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</si>
  <si>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</si>
  <si>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</si>
  <si>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</si>
  <si>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</si>
  <si>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1:0.91</t>
    <phoneticPr fontId="2" type="noConversion"/>
  </si>
  <si>
    <t>595.29坪</t>
    <phoneticPr fontId="2" type="noConversion"/>
  </si>
  <si>
    <t>109桃市都建執照字第00379-01號</t>
    <phoneticPr fontId="2" type="noConversion"/>
  </si>
  <si>
    <t>閤康聯合建築師事務所</t>
    <phoneticPr fontId="2" type="noConversion"/>
  </si>
  <si>
    <t>1030.74坪</t>
    <phoneticPr fontId="2" type="noConversion"/>
  </si>
  <si>
    <t>住家用</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</si>
  <si>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</si>
  <si>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</si>
  <si>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</si>
  <si>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平面式136個</t>
    <phoneticPr fontId="2" type="noConversion"/>
  </si>
  <si>
    <t>fig/AiCity-939-文華天際.png</t>
    <phoneticPr fontId="2" type="noConversion"/>
  </si>
  <si>
    <t>FacebookLink</t>
    <phoneticPr fontId="2" type="noConversion"/>
  </si>
  <si>
    <t>FacebookName</t>
    <phoneticPr fontId="2" type="noConversion"/>
  </si>
  <si>
    <t>LineID</t>
    <phoneticPr fontId="2" type="noConversion"/>
  </si>
  <si>
    <t>https://www.facebook.com/groups/A7happyhome</t>
    <phoneticPr fontId="2" type="noConversion"/>
  </si>
  <si>
    <t>A7 麗寶快樂家社區~住戶專區</t>
    <phoneticPr fontId="2" type="noConversion"/>
  </si>
  <si>
    <t>https://www.facebook.com/groups/671624019658641</t>
    <phoneticPr fontId="2" type="noConversion"/>
  </si>
  <si>
    <t>名軒快樂家-住戶專區</t>
    <phoneticPr fontId="2" type="noConversion"/>
  </si>
  <si>
    <t>https://www.facebook.com/groups/521969711190884</t>
    <phoneticPr fontId="2" type="noConversion"/>
  </si>
  <si>
    <t>A7皇翔歡喜城</t>
    <phoneticPr fontId="2" type="noConversion"/>
  </si>
  <si>
    <t>https://www.facebook.com/groups/675455015969962</t>
    <phoneticPr fontId="2" type="noConversion"/>
  </si>
  <si>
    <t>A7 遠雄文青 住戶討論區</t>
    <phoneticPr fontId="2" type="noConversion"/>
  </si>
  <si>
    <t>https://www.facebook.com/groups/1271297159886163</t>
    <phoneticPr fontId="2" type="noConversion"/>
  </si>
  <si>
    <t>A7櫻花澍已購戶討論區</t>
    <phoneticPr fontId="2" type="noConversion"/>
  </si>
  <si>
    <t>https://www.facebook.com/groups/254570162464632</t>
  </si>
  <si>
    <t>A7 遠雄新未來1 幸福住戶討論區</t>
    <phoneticPr fontId="2" type="noConversion"/>
  </si>
  <si>
    <t>https://www.facebook.com/groups/1970564956581068</t>
    <phoneticPr fontId="2" type="noConversion"/>
  </si>
  <si>
    <t>A7 富御捷境好鄰居交流團</t>
    <phoneticPr fontId="2" type="noConversion"/>
  </si>
  <si>
    <t>https://www.facebook.com/groups/238626460426128</t>
    <phoneticPr fontId="2" type="noConversion"/>
  </si>
  <si>
    <t>金捷市準鄰居交流園地</t>
    <phoneticPr fontId="2" type="noConversion"/>
  </si>
  <si>
    <t>https://www.facebook.com/groups/1127911624065990</t>
    <phoneticPr fontId="2" type="noConversion"/>
  </si>
  <si>
    <t>竹城甲子園住戶交流區</t>
    <phoneticPr fontId="2" type="noConversion"/>
  </si>
  <si>
    <t>https://www.facebook.com/groups/710305099774047</t>
    <phoneticPr fontId="2" type="noConversion"/>
  </si>
  <si>
    <t>友文化</t>
    <phoneticPr fontId="2" type="noConversion"/>
  </si>
  <si>
    <t>富宇悅峰</t>
    <phoneticPr fontId="2" type="noConversion"/>
  </si>
  <si>
    <t>https://www.facebook.com/%E6%A0%B9%E6%B4%A5%E8%8B%91-102597158541363</t>
    <phoneticPr fontId="2" type="noConversion"/>
  </si>
  <si>
    <t>根津苑</t>
    <phoneticPr fontId="2" type="noConversion"/>
  </si>
  <si>
    <t>https://www.facebook.com/groups/321511928734593</t>
    <phoneticPr fontId="2" type="noConversion"/>
  </si>
  <si>
    <t>新潤翡麗住戶天地</t>
    <phoneticPr fontId="2" type="noConversion"/>
  </si>
  <si>
    <t>https://www.facebook.com/groups/124542338433380</t>
    <phoneticPr fontId="2" type="noConversion"/>
  </si>
  <si>
    <t>富宇敦峰住戶社團</t>
    <phoneticPr fontId="2" type="noConversion"/>
  </si>
  <si>
    <t>https://www.facebook.com/groups/800873736965340</t>
    <phoneticPr fontId="2" type="noConversion"/>
  </si>
  <si>
    <t>A7皇普MVP屋主交流團</t>
    <phoneticPr fontId="2" type="noConversion"/>
  </si>
  <si>
    <t>https://www.facebook.com/groups/2397202740545114</t>
    <phoneticPr fontId="2" type="noConversion"/>
  </si>
  <si>
    <t>台北國際村住戶交流園區_林口A7</t>
    <phoneticPr fontId="2" type="noConversion"/>
  </si>
  <si>
    <t>玉子園</t>
    <phoneticPr fontId="2" type="noConversion"/>
  </si>
  <si>
    <t>https://www.facebook.com/groups/588376114975687</t>
    <phoneticPr fontId="2" type="noConversion"/>
  </si>
  <si>
    <t>龜山A7-奇幻莊園住戶</t>
    <phoneticPr fontId="2" type="noConversion"/>
  </si>
  <si>
    <t>https://www.facebook.com/groups/324107612343329</t>
    <phoneticPr fontId="2" type="noConversion"/>
  </si>
  <si>
    <t>樂捷市好鄰居</t>
    <phoneticPr fontId="2" type="noConversion"/>
  </si>
  <si>
    <t>耀台北</t>
    <phoneticPr fontId="2" type="noConversion"/>
  </si>
  <si>
    <t>415</t>
    <phoneticPr fontId="2" type="noConversion"/>
  </si>
  <si>
    <t>大亮時代A7</t>
    <phoneticPr fontId="2" type="noConversion"/>
  </si>
  <si>
    <t>fig/AiCity-939-大亮時代A7.jpeg</t>
    <phoneticPr fontId="2" type="noConversion"/>
  </si>
  <si>
    <t>https://newhouse.591.com.tw/home/housing/detail?hid=125949</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</si>
  <si>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</si>
  <si>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</si>
  <si>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</si>
  <si>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</si>
  <si>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</si>
  <si>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</si>
  <si>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</si>
  <si>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</si>
  <si>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</si>
  <si>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</si>
  <si>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</si>
  <si>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</si>
  <si>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</si>
  <si>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</si>
  <si>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</si>
  <si>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</si>
  <si>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住商用</t>
    <phoneticPr fontId="2" type="noConversion"/>
  </si>
  <si>
    <t>110桃市都建執照字第00147號</t>
    <phoneticPr fontId="2" type="noConversion"/>
  </si>
  <si>
    <t>王成維建築師事務所</t>
    <phoneticPr fontId="2" type="noConversion"/>
  </si>
  <si>
    <t>195~200萬</t>
    <phoneticPr fontId="2" type="noConversion"/>
  </si>
  <si>
    <t>2022Q4</t>
  </si>
  <si>
    <t>2022Q4</t>
    <phoneticPr fontId="2" type="noConversion"/>
  </si>
  <si>
    <t>2022Q1</t>
  </si>
  <si>
    <t>2022Q1</t>
    <phoneticPr fontId="2" type="noConversion"/>
  </si>
  <si>
    <t>2021Q2</t>
  </si>
  <si>
    <t>2021Q2</t>
    <phoneticPr fontId="2" type="noConversion"/>
  </si>
  <si>
    <t>2021Q3</t>
  </si>
  <si>
    <t>2021Q3</t>
    <phoneticPr fontId="2" type="noConversion"/>
  </si>
  <si>
    <t>2021Q4</t>
  </si>
  <si>
    <t>2021Q4</t>
    <phoneticPr fontId="2" type="noConversion"/>
  </si>
  <si>
    <t>2023Q1</t>
  </si>
  <si>
    <t>2023Q1</t>
    <phoneticPr fontId="2" type="noConversion"/>
  </si>
  <si>
    <t>2024Q2</t>
  </si>
  <si>
    <t>2024Q2</t>
    <phoneticPr fontId="2" type="noConversion"/>
  </si>
  <si>
    <t>2022Q2</t>
  </si>
  <si>
    <t>2022Q2</t>
    <phoneticPr fontId="2" type="noConversion"/>
  </si>
  <si>
    <t>2028Q2</t>
  </si>
  <si>
    <t>2028Q2</t>
    <phoneticPr fontId="2" type="noConversion"/>
  </si>
  <si>
    <t>2023Q4</t>
  </si>
  <si>
    <t>2023Q4</t>
    <phoneticPr fontId="2" type="noConversion"/>
  </si>
  <si>
    <t>2022Q3</t>
  </si>
  <si>
    <t>2022Q3</t>
    <phoneticPr fontId="2" type="noConversion"/>
  </si>
  <si>
    <t>2023Q2</t>
  </si>
  <si>
    <t>2023Q2</t>
    <phoneticPr fontId="2" type="noConversion"/>
  </si>
  <si>
    <t>1:1.07</t>
    <phoneticPr fontId="2" type="noConversion"/>
  </si>
  <si>
    <t>列標籤</t>
  </si>
  <si>
    <t>總計</t>
  </si>
  <si>
    <t>(多重項目)</t>
  </si>
  <si>
    <t>每坪價-最低</t>
  </si>
  <si>
    <t>每坪價-最低</t>
    <phoneticPr fontId="2" type="noConversion"/>
  </si>
  <si>
    <t>每坪價-最高</t>
    <phoneticPr fontId="2" type="noConversion"/>
  </si>
  <si>
    <t>每坪價-平均</t>
    <phoneticPr fontId="2" type="noConversion"/>
  </si>
  <si>
    <t>車位價格-最低</t>
    <phoneticPr fontId="2" type="noConversion"/>
  </si>
  <si>
    <t>車位價格-最高</t>
    <phoneticPr fontId="2" type="noConversion"/>
  </si>
  <si>
    <t>公設比例</t>
    <phoneticPr fontId="2" type="noConversion"/>
  </si>
  <si>
    <t>住家戶數</t>
  </si>
  <si>
    <t>住家戶數</t>
    <phoneticPr fontId="2" type="noConversion"/>
  </si>
  <si>
    <t>商店戶數</t>
    <phoneticPr fontId="2" type="noConversion"/>
  </si>
  <si>
    <t>建蔽比率</t>
    <phoneticPr fontId="2" type="noConversion"/>
  </si>
  <si>
    <t>樓層數</t>
    <phoneticPr fontId="2" type="noConversion"/>
  </si>
  <si>
    <t>車位分配率</t>
    <phoneticPr fontId="2" type="noConversion"/>
  </si>
  <si>
    <t>建築面積</t>
    <phoneticPr fontId="2" type="noConversion"/>
  </si>
  <si>
    <t>加總 - 住家戶數</t>
  </si>
  <si>
    <t>加總 - 商店戶數</t>
  </si>
  <si>
    <t>平均值 - 每坪價-最低</t>
  </si>
  <si>
    <t>平均值 - 每坪價-最高</t>
  </si>
  <si>
    <t>交屋時程</t>
    <phoneticPr fontId="2" type="noConversion"/>
  </si>
  <si>
    <t>計數 - 建案</t>
  </si>
  <si>
    <t>加總 - 樓層數</t>
  </si>
  <si>
    <t>N建案</t>
    <phoneticPr fontId="2" type="noConversion"/>
  </si>
  <si>
    <t>415 大亮時代A7</t>
  </si>
  <si>
    <t>301 允將大作</t>
  </si>
  <si>
    <t>309 友文化</t>
  </si>
  <si>
    <t>311 文華天際</t>
  </si>
  <si>
    <t>310 水悅青青</t>
  </si>
  <si>
    <t>107 台北國際村</t>
  </si>
  <si>
    <t>206 玄泰V1</t>
  </si>
  <si>
    <t>106 玉子園</t>
  </si>
  <si>
    <t>202 禾悅花園</t>
  </si>
  <si>
    <t>308 合遠新天地</t>
  </si>
  <si>
    <t>414 合謙學</t>
  </si>
  <si>
    <t>401 竹城甲子園</t>
  </si>
  <si>
    <t>504 竹城宇治</t>
  </si>
  <si>
    <t>503 竹城明治</t>
  </si>
  <si>
    <t>412 君邑丘比特</t>
  </si>
  <si>
    <t>411 和洲金剛</t>
  </si>
  <si>
    <t>101 和發大境</t>
  </si>
  <si>
    <t>207 和耀恆美</t>
  </si>
  <si>
    <t>104 奇幻莊園</t>
  </si>
  <si>
    <t>302 欣時代</t>
  </si>
  <si>
    <t>402 金捷市</t>
  </si>
  <si>
    <t>204 皇普MVP</t>
  </si>
  <si>
    <t>305 根津苑</t>
  </si>
  <si>
    <t>201 富宇上城</t>
  </si>
  <si>
    <t>502 富宇天匯</t>
  </si>
  <si>
    <t>407 富宇哈佛苑</t>
  </si>
  <si>
    <t>307 富宇悅峰</t>
  </si>
  <si>
    <t>205 富宇敦峰</t>
  </si>
  <si>
    <t>406 富御捷境</t>
  </si>
  <si>
    <t>306 華悅城</t>
  </si>
  <si>
    <t>404 詠勝市中欣</t>
  </si>
  <si>
    <t>405 新A7</t>
  </si>
  <si>
    <t>501 新未來1</t>
  </si>
  <si>
    <t>409 新未來2</t>
  </si>
  <si>
    <t>410 新未來3</t>
  </si>
  <si>
    <t>304 新潤鉑麗</t>
  </si>
  <si>
    <t>303 新潤翡麗</t>
  </si>
  <si>
    <t>105 樂田田</t>
  </si>
  <si>
    <t>103 樂捷市</t>
  </si>
  <si>
    <t>413 頤昌璞岳</t>
  </si>
  <si>
    <t>408 頤昌豐岳</t>
  </si>
  <si>
    <t>102 鴻典</t>
  </si>
  <si>
    <t>403 鴻築捷市達</t>
  </si>
  <si>
    <t>203 耀台北</t>
  </si>
  <si>
    <t>505 櫻花澍</t>
  </si>
  <si>
    <t>506 遠雄文青</t>
  </si>
  <si>
    <t>507 皇翔歡喜城</t>
  </si>
  <si>
    <t>508 名軒快樂家</t>
  </si>
  <si>
    <t>509 麗寶快樂家</t>
  </si>
  <si>
    <t>大亮建築</t>
  </si>
  <si>
    <t>允將建設</t>
  </si>
  <si>
    <t>合謙建設</t>
  </si>
  <si>
    <t>名軒開發</t>
  </si>
  <si>
    <t>君悅建設</t>
  </si>
  <si>
    <t>欣巴巴</t>
  </si>
  <si>
    <t>皇普建設</t>
  </si>
  <si>
    <t>皇翔建設</t>
  </si>
  <si>
    <t>新潤興業</t>
  </si>
  <si>
    <t>遠雄建設</t>
  </si>
  <si>
    <t>興富發建設</t>
  </si>
  <si>
    <t>頤昌建設</t>
  </si>
  <si>
    <t>鴻廣建設</t>
  </si>
  <si>
    <t>麗寶建設</t>
  </si>
  <si>
    <t>櫻花建設</t>
  </si>
  <si>
    <t>加總 - 建築面積</t>
  </si>
  <si>
    <t>建築面積</t>
  </si>
  <si>
    <t>樓層數</t>
  </si>
  <si>
    <t>平均值 - 公設比例</t>
  </si>
  <si>
    <t>平均值 - 建蔽比率</t>
  </si>
  <si>
    <t>平均值 - 車位分配率</t>
  </si>
  <si>
    <t>車位分配率</t>
  </si>
  <si>
    <t>建案</t>
    <phoneticPr fontId="2" type="noConversion"/>
  </si>
  <si>
    <t>車位配比</t>
    <phoneticPr fontId="2" type="noConversion"/>
  </si>
  <si>
    <t>區域</t>
    <phoneticPr fontId="2" type="noConversion"/>
  </si>
  <si>
    <t>1.樂善國小生活圈</t>
  </si>
  <si>
    <t>1.樂善國小生活圈</t>
    <phoneticPr fontId="2" type="noConversion"/>
  </si>
  <si>
    <t>2.樂善園區周邊</t>
  </si>
  <si>
    <t>2.樂善園區周邊</t>
    <phoneticPr fontId="2" type="noConversion"/>
  </si>
  <si>
    <t>3.華亞園區周邊</t>
  </si>
  <si>
    <t>3.華亞園區周邊</t>
    <phoneticPr fontId="2" type="noConversion"/>
  </si>
  <si>
    <t>4.中心商業區及文青國中小生活圈</t>
  </si>
  <si>
    <t>4.中心商業區及文青國中小生活圈</t>
    <phoneticPr fontId="2" type="noConversion"/>
  </si>
  <si>
    <t>5.合宜住宅區</t>
  </si>
  <si>
    <t>5.合宜住宅區</t>
    <phoneticPr fontId="2" type="noConversion"/>
  </si>
  <si>
    <t>平均值 - 每坪價-平均</t>
  </si>
  <si>
    <t>每坪價-平均</t>
  </si>
  <si>
    <t>行政里</t>
    <phoneticPr fontId="2" type="noConversion"/>
  </si>
  <si>
    <t>長庚里</t>
    <phoneticPr fontId="2" type="noConversion"/>
  </si>
  <si>
    <t>樂善里</t>
    <phoneticPr fontId="2" type="noConversion"/>
  </si>
  <si>
    <t>文化里</t>
    <phoneticPr fontId="2" type="noConversion"/>
  </si>
  <si>
    <t>文青里</t>
    <phoneticPr fontId="2" type="noConversion"/>
  </si>
  <si>
    <t>文化里</t>
  </si>
  <si>
    <t>文青里</t>
  </si>
  <si>
    <t>長庚里</t>
  </si>
  <si>
    <t>樂善里</t>
  </si>
  <si>
    <t>計數 - no</t>
  </si>
  <si>
    <t>3ㄒㄧ1</t>
  </si>
  <si>
    <t>台北國際村</t>
    <phoneticPr fontId="2" type="noConversion"/>
  </si>
  <si>
    <t>2021/8:22.7萬元/坪</t>
    <phoneticPr fontId="2" type="noConversion"/>
  </si>
  <si>
    <t>2021/8:20.0萬元/坪</t>
    <phoneticPr fontId="2" type="noConversion"/>
  </si>
  <si>
    <t>2021/8:21.7萬元/坪</t>
    <phoneticPr fontId="2" type="noConversion"/>
  </si>
  <si>
    <t>2021/8:21.0萬元/坪</t>
    <phoneticPr fontId="2" type="noConversion"/>
  </si>
  <si>
    <t>建設公司</t>
    <phoneticPr fontId="2" type="noConversion"/>
  </si>
  <si>
    <t>寶佳集團</t>
  </si>
  <si>
    <t>寶佳集團</t>
    <phoneticPr fontId="2" type="noConversion"/>
  </si>
  <si>
    <t>禾聯建築</t>
  </si>
  <si>
    <t>禾聯建築</t>
    <phoneticPr fontId="3" type="noConversion"/>
  </si>
  <si>
    <t>玄泰建設</t>
  </si>
  <si>
    <t>玄泰建設</t>
    <phoneticPr fontId="2" type="noConversion"/>
  </si>
  <si>
    <t>(全部)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</si>
</sst>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_ "/>
    <numFmt numFmtId="177" formatCode="#,##0.0_ "/>
    <numFmt numFmtId="178" formatCode="0.00_ "/>
    <numFmt numFmtId="179" formatCode="#,##0.00_ "/>
    <numFmt numFmtId="180" formatCode="#,##0_ "/>
    <numFmt numFmtId="181" formatCode="0.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7">
    <xf numFmtId="0" fontId="0" fillId="0" borderId="0" xfId="0">
      <alignment vertical="center"/>
    </xf>
    <xf numFmtId="49" fontId="0" fillId="0" borderId="0" xfId="0" applyNumberFormat="1" applyAlignment="1"/>
    <xf numFmtId="0" fontId="0" fillId="0" borderId="0" xfId="0" applyAlignment="1"/>
    <xf numFmtId="0" fontId="4" fillId="0" borderId="0" xfId="0" applyFont="1" applyAlignment="1"/>
    <xf numFmtId="0" fontId="1" fillId="0" borderId="0" xfId="1" applyNumberFormat="1" applyFill="1" applyAlignment="1" applyProtection="1"/>
    <xf numFmtId="14" fontId="0" fillId="0" borderId="0" xfId="0" applyNumberFormat="1" applyAlignment="1"/>
    <xf numFmtId="0" fontId="5" fillId="0" borderId="0" xfId="0" applyFont="1" applyAlignment="1"/>
    <xf numFmtId="10" fontId="0" fillId="0" borderId="0" xfId="0" applyNumberFormat="1" applyAlignment="1"/>
    <xf numFmtId="9" fontId="0" fillId="0" borderId="0" xfId="0" applyNumberFormat="1" applyAlignment="1"/>
    <xf numFmtId="0" fontId="1" fillId="0" borderId="0" xfId="1" applyAlignment="1"/>
    <xf numFmtId="0" fontId="6" fillId="0" borderId="0" xfId="0" applyFont="1" applyAlignment="1"/>
    <xf numFmtId="0" fontId="7" fillId="0" borderId="0" xfId="0" applyFont="1">
      <alignment vertical="center"/>
    </xf>
    <xf numFmtId="0" fontId="8" fillId="0" borderId="0" xfId="0" applyFont="1">
      <alignment vertical="center"/>
    </xf>
    <xf numFmtId="176" fontId="0" fillId="0" borderId="0" xfId="0" applyNumberFormat="1" applyAlignment="1"/>
    <xf numFmtId="177" fontId="0" fillId="0" borderId="0" xfId="0" applyNumberFormat="1" applyAlignment="1"/>
    <xf numFmtId="178" fontId="0" fillId="0" borderId="0" xfId="0" applyNumberFormat="1" applyAlignment="1"/>
    <xf numFmtId="0" fontId="0" fillId="0" borderId="0" xfId="0" pivotButton="1">
      <alignment vertical="center"/>
    </xf>
    <xf numFmtId="0" fontId="0" fillId="0" borderId="0" xfId="0" applyAlignment="1">
      <alignment horizontal="left" vertical="center"/>
    </xf>
    <xf numFmtId="0" fontId="0" fillId="0" borderId="0" xfId="0" applyNumberFormat="1">
      <alignment vertical="center"/>
    </xf>
    <xf numFmtId="176" fontId="0" fillId="0" borderId="0" xfId="0" applyNumberFormat="1">
      <alignment vertical="center"/>
    </xf>
    <xf numFmtId="10" fontId="0" fillId="0" borderId="0" xfId="0" applyNumberFormat="1">
      <alignment vertical="center"/>
    </xf>
    <xf numFmtId="0" fontId="0" fillId="0" borderId="0" xfId="0" applyAlignment="1">
      <alignment horizontal="left" vertical="center" indent="1"/>
    </xf>
    <xf numFmtId="0" fontId="0" fillId="0" borderId="0" xfId="0" applyNumberFormat="1" applyAlignment="1"/>
    <xf numFmtId="179" fontId="0" fillId="0" borderId="0" xfId="0" applyNumberFormat="1">
      <alignment vertical="center"/>
    </xf>
    <xf numFmtId="178" fontId="0" fillId="0" borderId="0" xfId="0" applyNumberFormat="1">
      <alignment vertical="center"/>
    </xf>
    <xf numFmtId="180" fontId="0" fillId="0" borderId="0" xfId="0" applyNumberFormat="1">
      <alignment vertical="center"/>
    </xf>
    <xf numFmtId="181" fontId="0" fillId="0" borderId="0" xfId="0" applyNumberFormat="1">
      <alignment vertical="center"/>
    </xf>
  </cellXfs>
  <cellStyles count="2">
    <cellStyle name="一般" xfId="0" builtinId="0"/>
    <cellStyle name="超連結" xfId="1" builtinId="8"/>
  </cellStyles>
  <dxfs count="10">
    <dxf>
      <numFmt numFmtId="179" formatCode="#,##0.00_ "/>
    </dxf>
    <dxf>
      <numFmt numFmtId="14" formatCode="0.00%"/>
    </dxf>
    <dxf>
      <numFmt numFmtId="8" formatCode="#,##0.00_);[Red]\(#,##0.00\)"/>
    </dxf>
    <dxf>
      <numFmt numFmtId="176" formatCode="0_ "/>
    </dxf>
    <dxf>
      <numFmt numFmtId="176" formatCode="0_ "/>
    </dxf>
    <dxf>
      <numFmt numFmtId="179" formatCode="#,##0.00_ "/>
    </dxf>
    <dxf>
      <numFmt numFmtId="14" formatCode="0.00%"/>
    </dxf>
    <dxf>
      <numFmt numFmtId="176" formatCode="0_ "/>
    </dxf>
    <dxf>
      <numFmt numFmtId="176" formatCode="0_ "/>
    </dxf>
    <dxf>
      <numFmt numFmtId="8" formatCode="#,##0.00_);[Red]\(#,##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[A7XLK-1102-HouseBigData.xlsx]Figure-1!樞紐分析表1</c:name>
    <c:fmtId val="2"/>
  </c:pivotSource>
  <c:chart>
    <c:title>
      <c:tx>
        <c:rich>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r>
              <a:rPr lang="zh-TW" altLang="en-US" sz="2400" baseline="0">
                <a:latin typeface="楷體-繁" panose="02010600040101010101" pitchFamily="2" charset="-120"/>
                <a:ea typeface="楷體-繁" panose="02010600040101010101" pitchFamily="2" charset="-120"/>
              </a:rPr>
              <a:t>建案住戶數及商店數</a:t>
            </a:r>
          </a:p>
        </c:rich>
      </c:tx>
      <c:overlay val="0"/>
      <c:spPr>
        <a:noFill/>
        <a:ln>
          <a:noFill/>
        </a:ln>
        <a:effectLst/>
      </c:spPr>
      <c:txPr>
        <a:bodyPr rot="0" spcFirstLastPara="1" vertOverflow="ellipsis" vert="horz" wrap="square" anchor="ctr" anchorCtr="1"/>
        <a:lstStyle/>
        <a:p>
          <a:pPr>
            <a:defRPr sz="2400" b="1" i="0" u="none" strike="noStrike" kern="1200" cap="all" spc="50" baseline="0">
              <a:solidFill>
                <a:schemeClr val="tx1">
                  <a:lumMod val="65000"/>
                  <a:lumOff val="35000"/>
                </a:schemeClr>
              </a:solidFill>
              <a:latin typeface="+mn-lt"/>
              <a:ea typeface="+mn-ea"/>
              <a:cs typeface="+mn-cs"/>
            </a:defRPr>
          </a:pPr>
          <a:endParaRPr lang="zh-TW"/>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1705473813093"/>
          <c:y val="0.14176631083169941"/>
          <c:w val="0.78721383397554034"/>
          <c:h val="0.83364141306660988"/>
        </c:manualLayout>
      </c:layout>
      <c:barChart>
        <c:barDir val="bar"/>
        <c:grouping val="stacked"/>
        <c:varyColors val="0"/>
        <c:ser>
          <c:idx val="0"/>
          <c:order val="0"/>
          <c:tx>
            <c:strRef>
              <c:f>'Figure-1'!$B$3</c:f>
              <c:strCache>
                <c:ptCount val="1"/>
                <c:pt idx="0">
                  <c:v>加總 - 住家戶數</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'Figure-1'!$B$4:$B$53</c:f>
              <c:numCache>
                <c:formatCode>General</c:formatCode>
                <c:ptCount val="49"/>
                <c:pt idx="0">
                  <c:v>280</c:v>
                </c:pt>
                <c:pt idx="1">
                  <c:v>196</c:v>
                </c:pt>
                <c:pt idx="2">
                  <c:v>326</c:v>
                </c:pt>
                <c:pt idx="3">
                  <c:v>173</c:v>
                </c:pt>
                <c:pt idx="4">
                  <c:v>187</c:v>
                </c:pt>
                <c:pt idx="5">
                  <c:v>186</c:v>
                </c:pt>
                <c:pt idx="6">
                  <c:v>198</c:v>
                </c:pt>
                <c:pt idx="7">
                  <c:v>832</c:v>
                </c:pt>
                <c:pt idx="8">
                  <c:v>1044</c:v>
                </c:pt>
                <c:pt idx="9">
                  <c:v>199</c:v>
                </c:pt>
                <c:pt idx="10">
                  <c:v>308</c:v>
                </c:pt>
                <c:pt idx="11">
                  <c:v>441</c:v>
                </c:pt>
                <c:pt idx="12">
                  <c:v>138</c:v>
                </c:pt>
                <c:pt idx="13">
                  <c:v>280</c:v>
                </c:pt>
                <c:pt idx="14">
                  <c:v>530</c:v>
                </c:pt>
                <c:pt idx="15">
                  <c:v>235</c:v>
                </c:pt>
                <c:pt idx="16">
                  <c:v>420</c:v>
                </c:pt>
                <c:pt idx="17">
                  <c:v>266</c:v>
                </c:pt>
                <c:pt idx="18">
                  <c:v>225</c:v>
                </c:pt>
                <c:pt idx="19">
                  <c:v>776</c:v>
                </c:pt>
                <c:pt idx="20">
                  <c:v>264</c:v>
                </c:pt>
                <c:pt idx="21">
                  <c:v>112</c:v>
                </c:pt>
                <c:pt idx="22">
                  <c:v>305</c:v>
                </c:pt>
                <c:pt idx="23">
                  <c:v>204</c:v>
                </c:pt>
                <c:pt idx="24">
                  <c:v>478</c:v>
                </c:pt>
                <c:pt idx="25">
                  <c:v>1144</c:v>
                </c:pt>
                <c:pt idx="26">
                  <c:v>754</c:v>
                </c:pt>
                <c:pt idx="27">
                  <c:v>771</c:v>
                </c:pt>
                <c:pt idx="28">
                  <c:v>257</c:v>
                </c:pt>
                <c:pt idx="29">
                  <c:v>371</c:v>
                </c:pt>
                <c:pt idx="30">
                  <c:v>337</c:v>
                </c:pt>
                <c:pt idx="31">
                  <c:v>483</c:v>
                </c:pt>
                <c:pt idx="32">
                  <c:v>154</c:v>
                </c:pt>
                <c:pt idx="33">
                  <c:v>376</c:v>
                </c:pt>
                <c:pt idx="34">
                  <c:v>582</c:v>
                </c:pt>
                <c:pt idx="35">
                  <c:v>210</c:v>
                </c:pt>
                <c:pt idx="36">
                  <c:v>173</c:v>
                </c:pt>
                <c:pt idx="37">
                  <c:v>124</c:v>
                </c:pt>
                <c:pt idx="38">
                  <c:v>106</c:v>
                </c:pt>
                <c:pt idx="39">
                  <c:v>87</c:v>
                </c:pt>
                <c:pt idx="40">
                  <c:v>807</c:v>
                </c:pt>
                <c:pt idx="41">
                  <c:v>266</c:v>
                </c:pt>
                <c:pt idx="42">
                  <c:v>168</c:v>
                </c:pt>
                <c:pt idx="43">
                  <c:v>103</c:v>
                </c:pt>
                <c:pt idx="44">
                  <c:v>106</c:v>
                </c:pt>
                <c:pt idx="45">
                  <c:v>1272</c:v>
                </c:pt>
                <c:pt idx="46">
                  <c:v>1780</c:v>
                </c:pt>
                <c:pt idx="47">
                  <c:v>514</c:v>
                </c:pt>
                <c:pt idx="48">
                  <c:v>897</c:v>
                </c:pt>
              </c:numCache>
            </c:numRef>
          </c:val>
          <c:extLst>
            <c:ext xmlns:c16="http://schemas.microsoft.com/office/drawing/2014/chart" uri="{C3380CC4-5D6E-409C-BE32-E72D297353CC}">
              <c16:uniqueId val="{00000003-FF9C-624D-9DB8-C670FF0AE088}"/>
            </c:ext>
          </c:extLst>
        </c:ser>
        <c:ser>
          <c:idx val="1"/>
          <c:order val="1"/>
          <c:tx>
            <c:strRef>
              <c:f>'Figure-1'!$C$3</c:f>
              <c:strCache>
                <c:ptCount val="1"/>
                <c:pt idx="0">
                  <c:v>加總 - 商店戶數</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'Figure-1'!$A$4:$A$53</c:f>
              <c:strCache>
                <c:ptCount val="49"/>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pt idx="45">
                  <c:v>506 遠雄文青</c:v>
                </c:pt>
                <c:pt idx="46">
                  <c:v>507 皇翔歡喜城</c:v>
                </c:pt>
                <c:pt idx="47">
                  <c:v>508 名軒快樂家</c:v>
                </c:pt>
                <c:pt idx="48">
                  <c:v>509 麗寶快樂家</c:v>
                </c:pt>
              </c:strCache>
            </c:strRef>
          </c:cat>
          <c:val>
            <c:numRef>
              <c:f>'Figure-1'!$C$4:$C$53</c:f>
              <c:numCache>
                <c:formatCode>General</c:formatCode>
                <c:ptCount val="49"/>
                <c:pt idx="0">
                  <c:v>12</c:v>
                </c:pt>
                <c:pt idx="1">
                  <c:v>11</c:v>
                </c:pt>
                <c:pt idx="2">
                  <c:v>20</c:v>
                </c:pt>
                <c:pt idx="3">
                  <c:v>11</c:v>
                </c:pt>
                <c:pt idx="4">
                  <c:v>12</c:v>
                </c:pt>
                <c:pt idx="5">
                  <c:v>7</c:v>
                </c:pt>
                <c:pt idx="6">
                  <c:v>8</c:v>
                </c:pt>
                <c:pt idx="7">
                  <c:v>0</c:v>
                </c:pt>
                <c:pt idx="8">
                  <c:v>0</c:v>
                </c:pt>
                <c:pt idx="9">
                  <c:v>2</c:v>
                </c:pt>
                <c:pt idx="10">
                  <c:v>13</c:v>
                </c:pt>
                <c:pt idx="11">
                  <c:v>7</c:v>
                </c:pt>
                <c:pt idx="12">
                  <c:v>8</c:v>
                </c:pt>
                <c:pt idx="13">
                  <c:v>11</c:v>
                </c:pt>
                <c:pt idx="14">
                  <c:v>5</c:v>
                </c:pt>
                <c:pt idx="15">
                  <c:v>4</c:v>
                </c:pt>
                <c:pt idx="16">
                  <c:v>20</c:v>
                </c:pt>
                <c:pt idx="17">
                  <c:v>13</c:v>
                </c:pt>
                <c:pt idx="18">
                  <c:v>3</c:v>
                </c:pt>
                <c:pt idx="19">
                  <c:v>8</c:v>
                </c:pt>
                <c:pt idx="20">
                  <c:v>0</c:v>
                </c:pt>
                <c:pt idx="21">
                  <c:v>4</c:v>
                </c:pt>
                <c:pt idx="22">
                  <c:v>0</c:v>
                </c:pt>
                <c:pt idx="23">
                  <c:v>7</c:v>
                </c:pt>
                <c:pt idx="24">
                  <c:v>8</c:v>
                </c:pt>
                <c:pt idx="25">
                  <c:v>30</c:v>
                </c:pt>
                <c:pt idx="26">
                  <c:v>23</c:v>
                </c:pt>
                <c:pt idx="27">
                  <c:v>31</c:v>
                </c:pt>
                <c:pt idx="28">
                  <c:v>7</c:v>
                </c:pt>
                <c:pt idx="29">
                  <c:v>3</c:v>
                </c:pt>
                <c:pt idx="30">
                  <c:v>2</c:v>
                </c:pt>
                <c:pt idx="31">
                  <c:v>8</c:v>
                </c:pt>
                <c:pt idx="32">
                  <c:v>9</c:v>
                </c:pt>
                <c:pt idx="33">
                  <c:v>9</c:v>
                </c:pt>
                <c:pt idx="34">
                  <c:v>16</c:v>
                </c:pt>
                <c:pt idx="35">
                  <c:v>11</c:v>
                </c:pt>
                <c:pt idx="36">
                  <c:v>5</c:v>
                </c:pt>
                <c:pt idx="37">
                  <c:v>11</c:v>
                </c:pt>
                <c:pt idx="38">
                  <c:v>0</c:v>
                </c:pt>
                <c:pt idx="39">
                  <c:v>3</c:v>
                </c:pt>
                <c:pt idx="40">
                  <c:v>14</c:v>
                </c:pt>
                <c:pt idx="41">
                  <c:v>4</c:v>
                </c:pt>
                <c:pt idx="42">
                  <c:v>5</c:v>
                </c:pt>
                <c:pt idx="43">
                  <c:v>6</c:v>
                </c:pt>
                <c:pt idx="44">
                  <c:v>2</c:v>
                </c:pt>
              </c:numCache>
            </c:numRef>
          </c:val>
          <c:extLst>
            <c:ext xmlns:c16="http://schemas.microsoft.com/office/drawing/2014/chart" uri="{C3380CC4-5D6E-409C-BE32-E72D297353CC}">
              <c16:uniqueId val="{00000004-FF9C-624D-9DB8-C670FF0AE088}"/>
            </c:ext>
          </c:extLst>
        </c:ser>
        <c:dLbls>
          <c:showLegendKey val="0"/>
          <c:showVal val="1"/>
          <c:showCatName val="0"/>
          <c:showSerName val="0"/>
          <c:showPercent val="0"/>
          <c:showBubbleSize val="0"/>
        </c:dLbls>
        <c:gapWidth val="95"/>
        <c:overlap val="100"/>
        <c:axId val="1037021136"/>
        <c:axId val="1036147856"/>
      </c:barChart>
      <c:catAx>
        <c:axId val="1037021136"/>
        <c:scaling>
          <c:orientation val="minMax"/>
        </c:scaling>
        <c:delete val="0"/>
        <c:axPos val="l"/>
        <c:numFmt formatCode="General" sourceLinked="1"/>
        <c:majorTickMark val="out"/>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036147856"/>
        <c:crosses val="autoZero"/>
        <c:auto val="1"/>
        <c:lblAlgn val="ctr"/>
        <c:lblOffset val="100"/>
        <c:noMultiLvlLbl val="0"/>
      </c:catAx>
      <c:valAx>
        <c:axId val="103614785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戶數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TW"/>
          </a:p>
        </c:txPr>
        <c:crossAx val="10370211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楷體-繁" panose="02010600040101010101" pitchFamily="2" charset="-120"/>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[A7XLK-1102-HouseBigData.xlsx]Figure-2!樞紐分析表2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zh-TW" sz="2400" baseline="0">
                <a:ea typeface="楷體-繁" panose="02010600040101010101" pitchFamily="2" charset="-120"/>
              </a:rPr>
              <a:t>A7</a:t>
            </a:r>
            <a:r>
              <a:rPr lang="zh-TW" altLang="en-US" sz="2400" baseline="0">
                <a:ea typeface="楷體-繁" panose="02010600040101010101" pitchFamily="2" charset="-120"/>
              </a:rPr>
              <a:t>重劃區建案 每坪 價格</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'Figure-2'!$B$3</c:f>
              <c:strCache>
                <c:ptCount val="1"/>
                <c:pt idx="0">
                  <c:v>平均值 - 每坪價-最低</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'Figure-2'!$B$4:$B$49</c:f>
              <c:numCache>
                <c:formatCode>0_ </c:formatCode>
                <c:ptCount val="45"/>
                <c:pt idx="0">
                  <c:v>28</c:v>
                </c:pt>
                <c:pt idx="1">
                  <c:v>26</c:v>
                </c:pt>
                <c:pt idx="2">
                  <c:v>26</c:v>
                </c:pt>
                <c:pt idx="3">
                  <c:v>24.5</c:v>
                </c:pt>
                <c:pt idx="4">
                  <c:v>25</c:v>
                </c:pt>
                <c:pt idx="5">
                  <c:v>26</c:v>
                </c:pt>
                <c:pt idx="6">
                  <c:v>25</c:v>
                </c:pt>
                <c:pt idx="7">
                  <c:v>30</c:v>
                </c:pt>
                <c:pt idx="8">
                  <c:v>28</c:v>
                </c:pt>
                <c:pt idx="9">
                  <c:v>26</c:v>
                </c:pt>
                <c:pt idx="10">
                  <c:v>25</c:v>
                </c:pt>
                <c:pt idx="11">
                  <c:v>30</c:v>
                </c:pt>
                <c:pt idx="12">
                  <c:v>27</c:v>
                </c:pt>
                <c:pt idx="13">
                  <c:v>28</c:v>
                </c:pt>
                <c:pt idx="14">
                  <c:v>35</c:v>
                </c:pt>
                <c:pt idx="15">
                  <c:v>27</c:v>
                </c:pt>
                <c:pt idx="16">
                  <c:v>26</c:v>
                </c:pt>
                <c:pt idx="17">
                  <c:v>27</c:v>
                </c:pt>
                <c:pt idx="18">
                  <c:v>24</c:v>
                </c:pt>
                <c:pt idx="19">
                  <c:v>26</c:v>
                </c:pt>
                <c:pt idx="20">
                  <c:v>28</c:v>
                </c:pt>
                <c:pt idx="21">
                  <c:v>24</c:v>
                </c:pt>
                <c:pt idx="22">
                  <c:v>30</c:v>
                </c:pt>
                <c:pt idx="23">
                  <c:v>29</c:v>
                </c:pt>
                <c:pt idx="24">
                  <c:v>27</c:v>
                </c:pt>
                <c:pt idx="25">
                  <c:v>26</c:v>
                </c:pt>
                <c:pt idx="26">
                  <c:v>30.5</c:v>
                </c:pt>
                <c:pt idx="27">
                  <c:v>35</c:v>
                </c:pt>
                <c:pt idx="28">
                  <c:v>27</c:v>
                </c:pt>
                <c:pt idx="29">
                  <c:v>31</c:v>
                </c:pt>
                <c:pt idx="30">
                  <c:v>27</c:v>
                </c:pt>
                <c:pt idx="31">
                  <c:v>33</c:v>
                </c:pt>
                <c:pt idx="32">
                  <c:v>30</c:v>
                </c:pt>
                <c:pt idx="33">
                  <c:v>30</c:v>
                </c:pt>
                <c:pt idx="34">
                  <c:v>33</c:v>
                </c:pt>
                <c:pt idx="35">
                  <c:v>25</c:v>
                </c:pt>
                <c:pt idx="36">
                  <c:v>27.8</c:v>
                </c:pt>
                <c:pt idx="37">
                  <c:v>32</c:v>
                </c:pt>
                <c:pt idx="38">
                  <c:v>32</c:v>
                </c:pt>
                <c:pt idx="39">
                  <c:v>35</c:v>
                </c:pt>
                <c:pt idx="40">
                  <c:v>33</c:v>
                </c:pt>
                <c:pt idx="41">
                  <c:v>39</c:v>
                </c:pt>
                <c:pt idx="42">
                  <c:v>28</c:v>
                </c:pt>
                <c:pt idx="43">
                  <c:v>30</c:v>
                </c:pt>
                <c:pt idx="44">
                  <c:v>28</c:v>
                </c:pt>
              </c:numCache>
            </c:numRef>
          </c:val>
          <c:extLst>
            <c:ext xmlns:c16="http://schemas.microsoft.com/office/drawing/2014/chart" uri="{C3380CC4-5D6E-409C-BE32-E72D297353CC}">
              <c16:uniqueId val="{00000000-EE34-D547-BF81-210EF3034447}"/>
            </c:ext>
          </c:extLst>
        </c:ser>
        <c:ser>
          <c:idx val="1"/>
          <c:order val="1"/>
          <c:tx>
            <c:strRef>
              <c:f>'Figure-2'!$C$3</c:f>
              <c:strCache>
                <c:ptCount val="1"/>
                <c:pt idx="0">
                  <c:v>平均值 - 每坪價-最高</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'Figure-2'!$A$4:$A$49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'Figure-2'!$C$4:$C$49</c:f>
              <c:numCache>
                <c:formatCode>0_ </c:formatCode>
                <c:ptCount val="45"/>
                <c:pt idx="0">
                  <c:v>29</c:v>
                </c:pt>
                <c:pt idx="1">
                  <c:v>26</c:v>
                </c:pt>
                <c:pt idx="2">
                  <c:v>26</c:v>
                </c:pt>
                <c:pt idx="3">
                  <c:v>25.5</c:v>
                </c:pt>
                <c:pt idx="4">
                  <c:v>26</c:v>
                </c:pt>
                <c:pt idx="5">
                  <c:v>28</c:v>
                </c:pt>
                <c:pt idx="6">
                  <c:v>26</c:v>
                </c:pt>
                <c:pt idx="7">
                  <c:v>35</c:v>
                </c:pt>
                <c:pt idx="8">
                  <c:v>29</c:v>
                </c:pt>
                <c:pt idx="9">
                  <c:v>28</c:v>
                </c:pt>
                <c:pt idx="10">
                  <c:v>26</c:v>
                </c:pt>
                <c:pt idx="11">
                  <c:v>32</c:v>
                </c:pt>
                <c:pt idx="12">
                  <c:v>29</c:v>
                </c:pt>
                <c:pt idx="13">
                  <c:v>33</c:v>
                </c:pt>
                <c:pt idx="14">
                  <c:v>38</c:v>
                </c:pt>
                <c:pt idx="15">
                  <c:v>29</c:v>
                </c:pt>
                <c:pt idx="16">
                  <c:v>28</c:v>
                </c:pt>
                <c:pt idx="17">
                  <c:v>29</c:v>
                </c:pt>
                <c:pt idx="18">
                  <c:v>26</c:v>
                </c:pt>
                <c:pt idx="19">
                  <c:v>30</c:v>
                </c:pt>
                <c:pt idx="20">
                  <c:v>32</c:v>
                </c:pt>
                <c:pt idx="21">
                  <c:v>26</c:v>
                </c:pt>
                <c:pt idx="22">
                  <c:v>31</c:v>
                </c:pt>
                <c:pt idx="23">
                  <c:v>31</c:v>
                </c:pt>
                <c:pt idx="24">
                  <c:v>27</c:v>
                </c:pt>
                <c:pt idx="25">
                  <c:v>28</c:v>
                </c:pt>
                <c:pt idx="26">
                  <c:v>30.5</c:v>
                </c:pt>
                <c:pt idx="27">
                  <c:v>38</c:v>
                </c:pt>
                <c:pt idx="28">
                  <c:v>32</c:v>
                </c:pt>
                <c:pt idx="29">
                  <c:v>33</c:v>
                </c:pt>
                <c:pt idx="30">
                  <c:v>29</c:v>
                </c:pt>
                <c:pt idx="31">
                  <c:v>38</c:v>
                </c:pt>
                <c:pt idx="32">
                  <c:v>30</c:v>
                </c:pt>
                <c:pt idx="33">
                  <c:v>32</c:v>
                </c:pt>
                <c:pt idx="34">
                  <c:v>38</c:v>
                </c:pt>
                <c:pt idx="35">
                  <c:v>27</c:v>
                </c:pt>
                <c:pt idx="36">
                  <c:v>32</c:v>
                </c:pt>
                <c:pt idx="37">
                  <c:v>33</c:v>
                </c:pt>
                <c:pt idx="38">
                  <c:v>35</c:v>
                </c:pt>
                <c:pt idx="39">
                  <c:v>36</c:v>
                </c:pt>
                <c:pt idx="40">
                  <c:v>38</c:v>
                </c:pt>
                <c:pt idx="41">
                  <c:v>43</c:v>
                </c:pt>
                <c:pt idx="42">
                  <c:v>30</c:v>
                </c:pt>
                <c:pt idx="43">
                  <c:v>30</c:v>
                </c:pt>
                <c:pt idx="44">
                  <c:v>32</c:v>
                </c:pt>
              </c:numCache>
            </c:numRef>
          </c:val>
          <c:extLst>
            <c:ext xmlns:c16="http://schemas.microsoft.com/office/drawing/2014/chart" uri="{C3380CC4-5D6E-409C-BE32-E72D297353CC}">
              <c16:uniqueId val="{00000001-EE34-D547-BF81-210EF3034447}"/>
            </c:ext>
          </c:extLst>
        </c:ser>
        <c:dLbls>
          <c:showLegendKey val="0"/>
          <c:showVal val="1"/>
          <c:showCatName val="0"/>
          <c:showSerName val="0"/>
          <c:showPercent val="0"/>
          <c:showBubbleSize val="0"/>
        </c:dLbls>
        <c:gapWidth val="150"/>
        <c:axId val="597848080"/>
        <c:axId val="544873440"/>
      </c:barChart>
      <c:catAx>
        <c:axId val="597848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544873440"/>
        <c:crosses val="autoZero"/>
        <c:auto val="1"/>
        <c:lblAlgn val="ctr"/>
        <c:lblOffset val="100"/>
        <c:noMultiLvlLbl val="0"/>
      </c:catAx>
      <c:valAx>
        <c:axId val="544873440"/>
        <c:scaling>
          <c:orientation val="minMax"/>
        </c:scaling>
        <c:delete val="1"/>
        <c:axPos val="b"/>
        <c:numFmt formatCode="0_ " sourceLinked="1"/>
        <c:majorTickMark val="none"/>
        <c:minorTickMark val="none"/>
        <c:tickLblPos val="nextTo"/>
        <c:crossAx val="5978480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[A7XLK-1102-HouseBigData.xlsx]Figure-4!樞紐分析表4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 建蔽率 ＆ 公設比</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'Figure-4'!$B$3</c:f>
              <c:strCache>
                <c:ptCount val="1"/>
                <c:pt idx="0">
                  <c:v>平均值 - 公設比例</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'Figure-4'!$B$4:$B$49</c:f>
              <c:numCache>
                <c:formatCode>0.00%</c:formatCode>
                <c:ptCount val="45"/>
                <c:pt idx="0">
                  <c:v>0.33</c:v>
                </c:pt>
                <c:pt idx="1">
                  <c:v>0.32</c:v>
                </c:pt>
                <c:pt idx="2">
                  <c:v>0.315</c:v>
                </c:pt>
                <c:pt idx="3">
                  <c:v>0.32</c:v>
                </c:pt>
                <c:pt idx="4">
                  <c:v>0.32600000000000001</c:v>
                </c:pt>
                <c:pt idx="5">
                  <c:v>0.315</c:v>
                </c:pt>
                <c:pt idx="6">
                  <c:v>0.315</c:v>
                </c:pt>
                <c:pt idx="7">
                  <c:v>0.33500000000000002</c:v>
                </c:pt>
                <c:pt idx="8">
                  <c:v>0.33500000000000002</c:v>
                </c:pt>
                <c:pt idx="9">
                  <c:v>0.315</c:v>
                </c:pt>
                <c:pt idx="10">
                  <c:v>0.31859999999999999</c:v>
                </c:pt>
                <c:pt idx="11">
                  <c:v>0.33350000000000002</c:v>
                </c:pt>
                <c:pt idx="12">
                  <c:v>0.31900000000000001</c:v>
                </c:pt>
                <c:pt idx="13">
                  <c:v>0.32250000000000001</c:v>
                </c:pt>
                <c:pt idx="14">
                  <c:v>0.33800000000000002</c:v>
                </c:pt>
                <c:pt idx="15">
                  <c:v>0.33500000000000002</c:v>
                </c:pt>
                <c:pt idx="16">
                  <c:v>0.33750000000000002</c:v>
                </c:pt>
                <c:pt idx="17">
                  <c:v>0.33500000000000002</c:v>
                </c:pt>
                <c:pt idx="18">
                  <c:v>0.32</c:v>
                </c:pt>
                <c:pt idx="19">
                  <c:v>0.34</c:v>
                </c:pt>
                <c:pt idx="20">
                  <c:v>0.36799999999999999</c:v>
                </c:pt>
                <c:pt idx="21">
                  <c:v>0.315</c:v>
                </c:pt>
                <c:pt idx="22">
                  <c:v>0.32</c:v>
                </c:pt>
                <c:pt idx="23">
                  <c:v>0.32</c:v>
                </c:pt>
                <c:pt idx="24">
                  <c:v>0.33</c:v>
                </c:pt>
                <c:pt idx="25">
                  <c:v>0.32500000000000001</c:v>
                </c:pt>
                <c:pt idx="26">
                  <c:v>0.31900000000000001</c:v>
                </c:pt>
                <c:pt idx="27">
                  <c:v>0.32</c:v>
                </c:pt>
                <c:pt idx="28">
                  <c:v>0.33</c:v>
                </c:pt>
                <c:pt idx="29">
                  <c:v>0.32</c:v>
                </c:pt>
                <c:pt idx="30">
                  <c:v>0.315</c:v>
                </c:pt>
                <c:pt idx="31">
                  <c:v>0.33500000000000002</c:v>
                </c:pt>
                <c:pt idx="32">
                  <c:v>0.32</c:v>
                </c:pt>
                <c:pt idx="33">
                  <c:v>0.33</c:v>
                </c:pt>
                <c:pt idx="34">
                  <c:v>0.3327</c:v>
                </c:pt>
                <c:pt idx="35">
                  <c:v>0.32</c:v>
                </c:pt>
                <c:pt idx="36">
                  <c:v>0.33129999999999998</c:v>
                </c:pt>
                <c:pt idx="37">
                  <c:v>0.32100000000000001</c:v>
                </c:pt>
                <c:pt idx="38">
                  <c:v>0.32500000000000001</c:v>
                </c:pt>
                <c:pt idx="39">
                  <c:v>0.33900000000000002</c:v>
                </c:pt>
                <c:pt idx="40">
                  <c:v>0.33</c:v>
                </c:pt>
                <c:pt idx="41">
                  <c:v>0.33500000000000002</c:v>
                </c:pt>
                <c:pt idx="42">
                  <c:v>0.32</c:v>
                </c:pt>
                <c:pt idx="43">
                  <c:v>0.315</c:v>
                </c:pt>
                <c:pt idx="44">
                  <c:v>0.32</c:v>
                </c:pt>
              </c:numCache>
            </c:numRef>
          </c:val>
          <c:extLst>
            <c:ext xmlns:c16="http://schemas.microsoft.com/office/drawing/2014/chart" uri="{C3380CC4-5D6E-409C-BE32-E72D297353CC}">
              <c16:uniqueId val="{00000000-B5F8-FF4B-A823-31765E501DC9}"/>
            </c:ext>
          </c:extLst>
        </c:ser>
        <c:ser>
          <c:idx val="1"/>
          <c:order val="1"/>
          <c:tx>
            <c:strRef>
              <c:f>'Figure-4'!$C$3</c:f>
              <c:strCache>
                <c:ptCount val="1"/>
                <c:pt idx="0">
                  <c:v>平均值 - 建蔽比率</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'Figure-4'!$A$4:$A$49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'Figure-4'!$C$4:$C$49</c:f>
              <c:numCache>
                <c:formatCode>0.00%</c:formatCode>
                <c:ptCount val="45"/>
                <c:pt idx="0">
                  <c:v>0.40899999999999997</c:v>
                </c:pt>
                <c:pt idx="1">
                  <c:v>0.39800000000000002</c:v>
                </c:pt>
                <c:pt idx="2">
                  <c:v>0.49559999999999998</c:v>
                </c:pt>
                <c:pt idx="3">
                  <c:v>0.48259999999999997</c:v>
                </c:pt>
                <c:pt idx="4">
                  <c:v>0.44269999999999998</c:v>
                </c:pt>
                <c:pt idx="5">
                  <c:v>0.44230000000000003</c:v>
                </c:pt>
                <c:pt idx="6">
                  <c:v>0.45669999999999999</c:v>
                </c:pt>
                <c:pt idx="7">
                  <c:v>0.31069999999999998</c:v>
                </c:pt>
                <c:pt idx="8">
                  <c:v>0.52939999999999998</c:v>
                </c:pt>
                <c:pt idx="9">
                  <c:v>0.46139999999999998</c:v>
                </c:pt>
                <c:pt idx="10">
                  <c:v>0.47989999999999999</c:v>
                </c:pt>
                <c:pt idx="11">
                  <c:v>0.43919999999999998</c:v>
                </c:pt>
                <c:pt idx="12">
                  <c:v>0.60160000000000002</c:v>
                </c:pt>
                <c:pt idx="13">
                  <c:v>0.4743</c:v>
                </c:pt>
                <c:pt idx="14">
                  <c:v>0.45529999999999998</c:v>
                </c:pt>
                <c:pt idx="15">
                  <c:v>0.57489999999999997</c:v>
                </c:pt>
                <c:pt idx="16">
                  <c:v>0.6502</c:v>
                </c:pt>
                <c:pt idx="17">
                  <c:v>0.59850000000000003</c:v>
                </c:pt>
                <c:pt idx="18">
                  <c:v>0.50539999999999996</c:v>
                </c:pt>
                <c:pt idx="19">
                  <c:v>0.44359999999999999</c:v>
                </c:pt>
                <c:pt idx="20">
                  <c:v>0.40210000000000001</c:v>
                </c:pt>
                <c:pt idx="21">
                  <c:v>0.3397</c:v>
                </c:pt>
                <c:pt idx="22">
                  <c:v>0.44209999999999999</c:v>
                </c:pt>
                <c:pt idx="23">
                  <c:v>0.55610000000000004</c:v>
                </c:pt>
                <c:pt idx="24">
                  <c:v>0.3347</c:v>
                </c:pt>
                <c:pt idx="25">
                  <c:v>0.50209999999999999</c:v>
                </c:pt>
                <c:pt idx="26">
                  <c:v>0.50739999999999996</c:v>
                </c:pt>
                <c:pt idx="27">
                  <c:v>0.49530000000000002</c:v>
                </c:pt>
                <c:pt idx="28">
                  <c:v>0.53259999999999996</c:v>
                </c:pt>
                <c:pt idx="29">
                  <c:v>0.46450000000000002</c:v>
                </c:pt>
                <c:pt idx="30">
                  <c:v>0.47499999999999998</c:v>
                </c:pt>
                <c:pt idx="31">
                  <c:v>0.44180000000000003</c:v>
                </c:pt>
                <c:pt idx="32">
                  <c:v>0.4622</c:v>
                </c:pt>
                <c:pt idx="33">
                  <c:v>0.36220000000000002</c:v>
                </c:pt>
                <c:pt idx="34">
                  <c:v>0.38300000000000001</c:v>
                </c:pt>
                <c:pt idx="35">
                  <c:v>0.45540000000000003</c:v>
                </c:pt>
                <c:pt idx="36">
                  <c:v>0.46150000000000002</c:v>
                </c:pt>
                <c:pt idx="37">
                  <c:v>0.51349999999999996</c:v>
                </c:pt>
                <c:pt idx="38">
                  <c:v>0.45660000000000001</c:v>
                </c:pt>
                <c:pt idx="39">
                  <c:v>0.50270000000000004</c:v>
                </c:pt>
                <c:pt idx="40">
                  <c:v>0.57020000000000004</c:v>
                </c:pt>
                <c:pt idx="41">
                  <c:v>0.49540000000000001</c:v>
                </c:pt>
                <c:pt idx="42">
                  <c:v>0.4556</c:v>
                </c:pt>
                <c:pt idx="43">
                  <c:v>0.45700000000000002</c:v>
                </c:pt>
                <c:pt idx="44">
                  <c:v>0.38140000000000002</c:v>
                </c:pt>
              </c:numCache>
            </c:numRef>
          </c:val>
          <c:extLst>
            <c:ext xmlns:c16="http://schemas.microsoft.com/office/drawing/2014/chart" uri="{C3380CC4-5D6E-409C-BE32-E72D297353CC}">
              <c16:uniqueId val="{00000001-B5F8-FF4B-A823-31765E501DC9}"/>
            </c:ext>
          </c:extLst>
        </c:ser>
        <c:dLbls>
          <c:showLegendKey val="0"/>
          <c:showVal val="1"/>
          <c:showCatName val="0"/>
          <c:showSerName val="0"/>
          <c:showPercent val="0"/>
          <c:showBubbleSize val="0"/>
        </c:dLbls>
        <c:gapWidth val="150"/>
        <c:axId val="619813008"/>
        <c:axId val="620188736"/>
      </c:barChart>
      <c:catAx>
        <c:axId val="6198130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20188736"/>
        <c:crosses val="autoZero"/>
        <c:auto val="1"/>
        <c:lblAlgn val="ctr"/>
        <c:lblOffset val="100"/>
        <c:noMultiLvlLbl val="0"/>
      </c:catAx>
      <c:valAx>
        <c:axId val="620188736"/>
        <c:scaling>
          <c:orientation val="minMax"/>
        </c:scaling>
        <c:delete val="1"/>
        <c:axPos val="b"/>
        <c:numFmt formatCode="0.00%" sourceLinked="1"/>
        <c:majorTickMark val="none"/>
        <c:minorTickMark val="none"/>
        <c:tickLblPos val="nextTo"/>
        <c:crossAx val="61981300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[A7XLK-1102-HouseBigData.xlsx]Figure-3!樞紐分析表3</c:name>
    <c:fmtId val="0"/>
  </c:pivotSource>
  <c:chart>
    <c:title>
      <c:tx>
        <c:rich>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r>
              <a:rPr lang="zh-TW" altLang="en-US" sz="2400" baseline="0">
                <a:ea typeface="楷體-繁" panose="02010600040101010101" pitchFamily="2" charset="-120"/>
              </a:rPr>
              <a:t>交貨期程</a:t>
            </a:r>
          </a:p>
        </c:rich>
      </c:tx>
      <c:overlay val="0"/>
      <c:spPr>
        <a:noFill/>
        <a:ln>
          <a:noFill/>
        </a:ln>
        <a:effectLst/>
      </c:spPr>
      <c:txPr>
        <a:bodyPr rot="0" spcFirstLastPara="1" vertOverflow="ellipsis" vert="horz" wrap="square" anchor="ctr" anchorCtr="1"/>
        <a:lstStyle/>
        <a:p>
          <a:pPr>
            <a:defRPr sz="2400" b="0" i="0" u="none" strike="noStrike" kern="1200" cap="none" spc="50" normalizeH="0" baseline="0">
              <a:solidFill>
                <a:schemeClr val="tx1">
                  <a:lumMod val="65000"/>
                  <a:lumOff val="35000"/>
                </a:schemeClr>
              </a:solidFill>
              <a:latin typeface="+mj-lt"/>
              <a:ea typeface="楷體-繁" panose="02010600040101010101" pitchFamily="2" charset="-120"/>
              <a:cs typeface="+mj-cs"/>
            </a:defRPr>
          </a:pPr>
          <a:endParaRPr lang="zh-TW"/>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'Figure-3'!$B$3</c:f>
              <c:strCache>
                <c:ptCount val="1"/>
                <c:pt idx="0">
                  <c:v>合計</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'Figure-3'!$A$4:$A$60</c:f>
              <c:multiLvlStrCache>
                <c:ptCount val="44"/>
                <c:lvl>
                  <c:pt idx="0">
                    <c:v>103 樂捷市</c:v>
                  </c:pt>
                  <c:pt idx="1">
                    <c:v>104 奇幻莊園</c:v>
                  </c:pt>
                  <c:pt idx="2">
                    <c:v>107 台北國際村</c:v>
                  </c:pt>
                  <c:pt idx="3">
                    <c:v>203 耀台北</c:v>
                  </c:pt>
                  <c:pt idx="4">
                    <c:v>205 富宇敦峰</c:v>
                  </c:pt>
                  <c:pt idx="5">
                    <c:v>304 新潤鉑麗</c:v>
                  </c:pt>
                  <c:pt idx="6">
                    <c:v>305 根津苑</c:v>
                  </c:pt>
                  <c:pt idx="7">
                    <c:v>308 合遠新天地</c:v>
                  </c:pt>
                  <c:pt idx="8">
                    <c:v>402 金捷市</c:v>
                  </c:pt>
                  <c:pt idx="9">
                    <c:v>406 富御捷境</c:v>
                  </c:pt>
                  <c:pt idx="10">
                    <c:v>503 竹城明治</c:v>
                  </c:pt>
                  <c:pt idx="11">
                    <c:v>504 竹城宇治</c:v>
                  </c:pt>
                  <c:pt idx="12">
                    <c:v>105 樂田田</c:v>
                  </c:pt>
                  <c:pt idx="13">
                    <c:v>309 友文化</c:v>
                  </c:pt>
                  <c:pt idx="14">
                    <c:v>106 玉子園</c:v>
                  </c:pt>
                  <c:pt idx="15">
                    <c:v>204 皇普MVP</c:v>
                  </c:pt>
                  <c:pt idx="16">
                    <c:v>303 新潤翡麗</c:v>
                  </c:pt>
                  <c:pt idx="17">
                    <c:v>306 華悅城</c:v>
                  </c:pt>
                  <c:pt idx="18">
                    <c:v>310 水悅青青</c:v>
                  </c:pt>
                  <c:pt idx="19">
                    <c:v>401 竹城甲子園</c:v>
                  </c:pt>
                  <c:pt idx="20">
                    <c:v>405 新A7</c:v>
                  </c:pt>
                  <c:pt idx="21">
                    <c:v>411 和洲金剛</c:v>
                  </c:pt>
                  <c:pt idx="22">
                    <c:v>501 新未來1</c:v>
                  </c:pt>
                  <c:pt idx="23">
                    <c:v>505 櫻花澍</c:v>
                  </c:pt>
                  <c:pt idx="24">
                    <c:v>102 鴻典</c:v>
                  </c:pt>
                  <c:pt idx="25">
                    <c:v>307 富宇悅峰</c:v>
                  </c:pt>
                  <c:pt idx="26">
                    <c:v>408 頤昌豐岳</c:v>
                  </c:pt>
                  <c:pt idx="27">
                    <c:v>207 和耀恆美</c:v>
                  </c:pt>
                  <c:pt idx="28">
                    <c:v>409 新未來2</c:v>
                  </c:pt>
                  <c:pt idx="29">
                    <c:v>412 君邑丘比特</c:v>
                  </c:pt>
                  <c:pt idx="30">
                    <c:v>414 合謙學</c:v>
                  </c:pt>
                  <c:pt idx="31">
                    <c:v>413 頤昌璞岳</c:v>
                  </c:pt>
                  <c:pt idx="32">
                    <c:v>101 和發大境</c:v>
                  </c:pt>
                  <c:pt idx="33">
                    <c:v>206 玄泰V1</c:v>
                  </c:pt>
                  <c:pt idx="34">
                    <c:v>404 詠勝市中欣</c:v>
                  </c:pt>
                  <c:pt idx="35">
                    <c:v>201 富宇上城</c:v>
                  </c:pt>
                  <c:pt idx="36">
                    <c:v>502 富宇天匯</c:v>
                  </c:pt>
                  <c:pt idx="37">
                    <c:v>302 欣時代</c:v>
                  </c:pt>
                  <c:pt idx="38">
                    <c:v>403 鴻築捷市達</c:v>
                  </c:pt>
                  <c:pt idx="39">
                    <c:v>407 富宇哈佛苑</c:v>
                  </c:pt>
                  <c:pt idx="40">
                    <c:v>410 新未來3</c:v>
                  </c:pt>
                  <c:pt idx="41">
                    <c:v>415 大亮時代A7</c:v>
                  </c:pt>
                  <c:pt idx="42">
                    <c:v>202 禾悅花園</c:v>
                  </c:pt>
                  <c:pt idx="43">
                    <c:v>301 允將大作</c:v>
                  </c:pt>
                </c:lvl>
                <c:lvl>
                  <c:pt idx="0">
                    <c:v>2021Q2</c:v>
                  </c:pt>
                  <c:pt idx="12">
                    <c:v>2021Q3</c:v>
                  </c:pt>
                  <c:pt idx="14">
                    <c:v>2021Q4</c:v>
                  </c:pt>
                  <c:pt idx="24">
                    <c:v>2022Q1</c:v>
                  </c:pt>
                  <c:pt idx="27">
                    <c:v>2022Q2</c:v>
                  </c:pt>
                  <c:pt idx="31">
                    <c:v>2022Q3</c:v>
                  </c:pt>
                  <c:pt idx="32">
                    <c:v>2022Q4</c:v>
                  </c:pt>
                  <c:pt idx="35">
                    <c:v>2023Q1</c:v>
                  </c:pt>
                  <c:pt idx="36">
                    <c:v>2023Q2</c:v>
                  </c:pt>
                  <c:pt idx="37">
                    <c:v>2023Q4</c:v>
                  </c:pt>
                  <c:pt idx="42">
                    <c:v>2024Q2</c:v>
                  </c:pt>
                  <c:pt idx="43">
                    <c:v>2028Q2</c:v>
                  </c:pt>
                </c:lvl>
              </c:multiLvlStrCache>
            </c:multiLvlStrRef>
          </c:cat>
          <c:val>
            <c:numRef>
              <c:f>'Figure-3'!$B$4:$B$60</c:f>
              <c:numCache>
                <c:formatCode>General</c:formatCode>
                <c:ptCount val="4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numCache>
            </c:numRef>
          </c:val>
          <c:extLst>
            <c:ext xmlns:c16="http://schemas.microsoft.com/office/drawing/2014/chart" uri="{C3380CC4-5D6E-409C-BE32-E72D297353CC}">
              <c16:uniqueId val="{00000001-63A1-E845-86F9-DEFE3B60F7F4}"/>
            </c:ext>
          </c:extLst>
        </c:ser>
        <c:dLbls>
          <c:showLegendKey val="0"/>
          <c:showVal val="1"/>
          <c:showCatName val="0"/>
          <c:showSerName val="0"/>
          <c:showPercent val="0"/>
          <c:showBubbleSize val="0"/>
        </c:dLbls>
        <c:gapWidth val="150"/>
        <c:axId val="563157744"/>
        <c:axId val="639725824"/>
      </c:barChart>
      <c:catAx>
        <c:axId val="563157744"/>
        <c:scaling>
          <c:orientation val="minMax"/>
        </c:scaling>
        <c:delete val="0"/>
        <c:axPos val="l"/>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zh-TW"/>
          </a:p>
        </c:txPr>
        <c:crossAx val="639725824"/>
        <c:crosses val="autoZero"/>
        <c:auto val="1"/>
        <c:lblAlgn val="ctr"/>
        <c:lblOffset val="100"/>
        <c:noMultiLvlLbl val="0"/>
      </c:catAx>
      <c:valAx>
        <c:axId val="63972582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zh-TW" altLang="en-US" sz="1600" baseline="0">
                    <a:ea typeface="楷體-繁" panose="02010600040101010101" pitchFamily="2" charset="-120"/>
                  </a:rPr>
                  <a:t>建案數</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zh-TW"/>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zh-TW"/>
          </a:p>
        </c:txPr>
        <c:crossAx val="563157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[A7XLK-1102-HouseBigData.xlsx]Figure-6!樞紐分析表6</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基地面積</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'Figure-6'!$B$3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'Figure-6'!$A$4:$A$49</c:f>
              <c:strCache>
                <c:ptCount val="45"/>
                <c:pt idx="0">
                  <c:v>101 和發大境</c:v>
                </c:pt>
                <c:pt idx="1">
                  <c:v>102 鴻典</c:v>
                </c:pt>
                <c:pt idx="2">
                  <c:v>103 樂捷市</c:v>
                </c:pt>
                <c:pt idx="3">
                  <c:v>104 奇幻莊園</c:v>
                </c:pt>
                <c:pt idx="4">
                  <c:v>105 樂田田</c:v>
                </c:pt>
                <c:pt idx="5">
                  <c:v>106 玉子園</c:v>
                </c:pt>
                <c:pt idx="6">
                  <c:v>107 台北國際村</c:v>
                </c:pt>
                <c:pt idx="7">
                  <c:v>201 富宇上城</c:v>
                </c:pt>
                <c:pt idx="8">
                  <c:v>202 禾悅花園</c:v>
                </c:pt>
                <c:pt idx="9">
                  <c:v>203 耀台北</c:v>
                </c:pt>
                <c:pt idx="10">
                  <c:v>204 皇普MVP</c:v>
                </c:pt>
                <c:pt idx="11">
                  <c:v>205 富宇敦峰</c:v>
                </c:pt>
                <c:pt idx="12">
                  <c:v>206 玄泰V1</c:v>
                </c:pt>
                <c:pt idx="13">
                  <c:v>207 和耀恆美</c:v>
                </c:pt>
                <c:pt idx="14">
                  <c:v>301 允將大作</c:v>
                </c:pt>
                <c:pt idx="15">
                  <c:v>302 欣時代</c:v>
                </c:pt>
                <c:pt idx="16">
                  <c:v>303 新潤翡麗</c:v>
                </c:pt>
                <c:pt idx="17">
                  <c:v>304 新潤鉑麗</c:v>
                </c:pt>
                <c:pt idx="18">
                  <c:v>305 根津苑</c:v>
                </c:pt>
                <c:pt idx="19">
                  <c:v>306 華悅城</c:v>
                </c:pt>
                <c:pt idx="20">
                  <c:v>307 富宇悅峰</c:v>
                </c:pt>
                <c:pt idx="21">
                  <c:v>308 合遠新天地</c:v>
                </c:pt>
                <c:pt idx="22">
                  <c:v>309 友文化</c:v>
                </c:pt>
                <c:pt idx="23">
                  <c:v>310 水悅青青</c:v>
                </c:pt>
                <c:pt idx="24">
                  <c:v>311 文華天際</c:v>
                </c:pt>
                <c:pt idx="25">
                  <c:v>401 竹城甲子園</c:v>
                </c:pt>
                <c:pt idx="26">
                  <c:v>402 金捷市</c:v>
                </c:pt>
                <c:pt idx="27">
                  <c:v>403 鴻築捷市達</c:v>
                </c:pt>
                <c:pt idx="28">
                  <c:v>404 詠勝市中欣</c:v>
                </c:pt>
                <c:pt idx="29">
                  <c:v>405 新A7</c:v>
                </c:pt>
                <c:pt idx="30">
                  <c:v>406 富御捷境</c:v>
                </c:pt>
                <c:pt idx="31">
                  <c:v>407 富宇哈佛苑</c:v>
                </c:pt>
                <c:pt idx="32">
                  <c:v>408 頤昌豐岳</c:v>
                </c:pt>
                <c:pt idx="33">
                  <c:v>409 新未來2</c:v>
                </c:pt>
                <c:pt idx="34">
                  <c:v>410 新未來3</c:v>
                </c:pt>
                <c:pt idx="35">
                  <c:v>411 和洲金剛</c:v>
                </c:pt>
                <c:pt idx="36">
                  <c:v>412 君邑丘比特</c:v>
                </c:pt>
                <c:pt idx="37">
                  <c:v>413 頤昌璞岳</c:v>
                </c:pt>
                <c:pt idx="38">
                  <c:v>414 合謙學</c:v>
                </c:pt>
                <c:pt idx="39">
                  <c:v>415 大亮時代A7</c:v>
                </c:pt>
                <c:pt idx="40">
                  <c:v>501 新未來1</c:v>
                </c:pt>
                <c:pt idx="41">
                  <c:v>502 富宇天匯</c:v>
                </c:pt>
                <c:pt idx="42">
                  <c:v>503 竹城明治</c:v>
                </c:pt>
                <c:pt idx="43">
                  <c:v>504 竹城宇治</c:v>
                </c:pt>
                <c:pt idx="44">
                  <c:v>505 櫻花澍</c:v>
                </c:pt>
              </c:strCache>
            </c:strRef>
          </c:cat>
          <c:val>
            <c:numRef>
              <c:f>'Figure-6'!$B$4:$B$49</c:f>
              <c:numCache>
                <c:formatCode>#,##0.00_ </c:formatCode>
                <c:ptCount val="45"/>
                <c:pt idx="0">
                  <c:v>1586.57</c:v>
                </c:pt>
                <c:pt idx="1">
                  <c:v>1062.93</c:v>
                </c:pt>
                <c:pt idx="2">
                  <c:v>1848.44</c:v>
                </c:pt>
                <c:pt idx="3">
                  <c:v>954.46</c:v>
                </c:pt>
                <c:pt idx="4">
                  <c:v>907.61</c:v>
                </c:pt>
                <c:pt idx="5">
                  <c:v>1042.98</c:v>
                </c:pt>
                <c:pt idx="6">
                  <c:v>1054.47</c:v>
                </c:pt>
                <c:pt idx="7">
                  <c:v>4046.9</c:v>
                </c:pt>
                <c:pt idx="8">
                  <c:v>4720.8900000000003</c:v>
                </c:pt>
                <c:pt idx="9">
                  <c:v>909.91</c:v>
                </c:pt>
                <c:pt idx="10">
                  <c:v>1390.39</c:v>
                </c:pt>
                <c:pt idx="11">
                  <c:v>2727.34</c:v>
                </c:pt>
                <c:pt idx="12">
                  <c:v>911.52</c:v>
                </c:pt>
                <c:pt idx="13">
                  <c:v>1309.1400000000001</c:v>
                </c:pt>
                <c:pt idx="14">
                  <c:v>1554.48</c:v>
                </c:pt>
                <c:pt idx="15">
                  <c:v>713.17</c:v>
                </c:pt>
                <c:pt idx="16">
                  <c:v>1083.97</c:v>
                </c:pt>
                <c:pt idx="17">
                  <c:v>1137.47</c:v>
                </c:pt>
                <c:pt idx="18">
                  <c:v>1848.44</c:v>
                </c:pt>
                <c:pt idx="19">
                  <c:v>2751.33</c:v>
                </c:pt>
                <c:pt idx="20">
                  <c:v>1266.01</c:v>
                </c:pt>
                <c:pt idx="21">
                  <c:v>642.91999999999996</c:v>
                </c:pt>
                <c:pt idx="22">
                  <c:v>1426.7</c:v>
                </c:pt>
                <c:pt idx="23">
                  <c:v>910.52</c:v>
                </c:pt>
                <c:pt idx="24">
                  <c:v>1998.07</c:v>
                </c:pt>
                <c:pt idx="25">
                  <c:v>4352.46</c:v>
                </c:pt>
                <c:pt idx="26">
                  <c:v>2090.31</c:v>
                </c:pt>
                <c:pt idx="27">
                  <c:v>2067.2399999999998</c:v>
                </c:pt>
                <c:pt idx="28">
                  <c:v>926.66</c:v>
                </c:pt>
                <c:pt idx="29">
                  <c:v>1538.68</c:v>
                </c:pt>
                <c:pt idx="30">
                  <c:v>1359.03</c:v>
                </c:pt>
                <c:pt idx="31">
                  <c:v>2155.85</c:v>
                </c:pt>
                <c:pt idx="32">
                  <c:v>933.78</c:v>
                </c:pt>
                <c:pt idx="33">
                  <c:v>1955.56</c:v>
                </c:pt>
                <c:pt idx="34">
                  <c:v>2513.2199999999998</c:v>
                </c:pt>
                <c:pt idx="35">
                  <c:v>1359.03</c:v>
                </c:pt>
                <c:pt idx="36">
                  <c:v>1030.74</c:v>
                </c:pt>
                <c:pt idx="37">
                  <c:v>595.29</c:v>
                </c:pt>
                <c:pt idx="38">
                  <c:v>1030.74</c:v>
                </c:pt>
                <c:pt idx="39">
                  <c:v>332.5</c:v>
                </c:pt>
                <c:pt idx="40">
                  <c:v>2890</c:v>
                </c:pt>
                <c:pt idx="41">
                  <c:v>1471.38</c:v>
                </c:pt>
                <c:pt idx="42">
                  <c:v>961.25</c:v>
                </c:pt>
                <c:pt idx="43">
                  <c:v>638.13</c:v>
                </c:pt>
                <c:pt idx="44">
                  <c:v>602.07000000000005</c:v>
                </c:pt>
              </c:numCache>
            </c:numRef>
          </c:val>
          <c:extLst>
            <c:ext xmlns:c16="http://schemas.microsoft.com/office/drawing/2014/chart" uri="{C3380CC4-5D6E-409C-BE32-E72D297353CC}">
              <c16:uniqueId val="{00000000-451F-B841-B8FC-75AF7C868C35}"/>
            </c:ext>
          </c:extLst>
        </c:ser>
        <c:dLbls>
          <c:showLegendKey val="0"/>
          <c:showVal val="1"/>
          <c:showCatName val="0"/>
          <c:showSerName val="0"/>
          <c:showPercent val="0"/>
          <c:showBubbleSize val="0"/>
        </c:dLbls>
        <c:gapWidth val="150"/>
        <c:overlap val="-25"/>
        <c:axId val="726791168"/>
        <c:axId val="726792816"/>
      </c:barChart>
      <c:catAx>
        <c:axId val="7267911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26792816"/>
        <c:crosses val="autoZero"/>
        <c:auto val="1"/>
        <c:lblAlgn val="ctr"/>
        <c:lblOffset val="100"/>
        <c:noMultiLvlLbl val="0"/>
      </c:catAx>
      <c:valAx>
        <c:axId val="726792816"/>
        <c:scaling>
          <c:orientation val="minMax"/>
        </c:scaling>
        <c:delete val="1"/>
        <c:axPos val="b"/>
        <c:numFmt formatCode="#,##0.00_ " sourceLinked="1"/>
        <c:majorTickMark val="none"/>
        <c:minorTickMark val="none"/>
        <c:tickLblPos val="nextTo"/>
        <c:crossAx val="72679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[A7XLK-1102-HouseBigData.xlsx]Figure-7!樞紐分析表7</c:name>
    <c:fmtId val="0"/>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r>
              <a:rPr lang="zh-TW" altLang="en-US" sz="2400" baseline="0">
                <a:ea typeface="楷體-繁" panose="02010600040101010101" pitchFamily="2" charset="-120"/>
              </a:rPr>
              <a:t>建案 樓層數</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T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'Figure-7'!$B$3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'Figure-7'!$A$4:$A$49</c:f>
              <c:strCache>
                <c:ptCount val="45"/>
                <c:pt idx="0">
                  <c:v>504 竹城宇治</c:v>
                </c:pt>
                <c:pt idx="1">
                  <c:v>503 竹城明治</c:v>
                </c:pt>
                <c:pt idx="2">
                  <c:v>310 水悅青青</c:v>
                </c:pt>
                <c:pt idx="3">
                  <c:v>413 頤昌璞岳</c:v>
                </c:pt>
                <c:pt idx="4">
                  <c:v>414 合謙學</c:v>
                </c:pt>
                <c:pt idx="5">
                  <c:v>505 櫻花澍</c:v>
                </c:pt>
                <c:pt idx="6">
                  <c:v>104 奇幻莊園</c:v>
                </c:pt>
                <c:pt idx="7">
                  <c:v>307 富宇悅峰</c:v>
                </c:pt>
                <c:pt idx="8">
                  <c:v>105 樂田田</c:v>
                </c:pt>
                <c:pt idx="9">
                  <c:v>309 友文化</c:v>
                </c:pt>
                <c:pt idx="10">
                  <c:v>204 皇普MVP</c:v>
                </c:pt>
                <c:pt idx="11">
                  <c:v>203 耀台北</c:v>
                </c:pt>
                <c:pt idx="12">
                  <c:v>205 富宇敦峰</c:v>
                </c:pt>
                <c:pt idx="13">
                  <c:v>207 和耀恆美</c:v>
                </c:pt>
                <c:pt idx="14">
                  <c:v>405 新A7</c:v>
                </c:pt>
                <c:pt idx="15">
                  <c:v>305 根津苑</c:v>
                </c:pt>
                <c:pt idx="16">
                  <c:v>406 富御捷境</c:v>
                </c:pt>
                <c:pt idx="17">
                  <c:v>102 鴻典</c:v>
                </c:pt>
                <c:pt idx="18">
                  <c:v>408 頤昌豐岳</c:v>
                </c:pt>
                <c:pt idx="19">
                  <c:v>101 和發大境</c:v>
                </c:pt>
                <c:pt idx="20">
                  <c:v>411 和洲金剛</c:v>
                </c:pt>
                <c:pt idx="21">
                  <c:v>202 禾悅花園</c:v>
                </c:pt>
                <c:pt idx="22">
                  <c:v>412 君邑丘比特</c:v>
                </c:pt>
                <c:pt idx="23">
                  <c:v>308 合遠新天地</c:v>
                </c:pt>
                <c:pt idx="24">
                  <c:v>502 富宇天匯</c:v>
                </c:pt>
                <c:pt idx="25">
                  <c:v>106 玉子園</c:v>
                </c:pt>
                <c:pt idx="26">
                  <c:v>304 新潤鉑麗</c:v>
                </c:pt>
                <c:pt idx="27">
                  <c:v>107 台北國際村</c:v>
                </c:pt>
                <c:pt idx="28">
                  <c:v>103 樂捷市</c:v>
                </c:pt>
                <c:pt idx="29">
                  <c:v>415 大亮時代A7</c:v>
                </c:pt>
                <c:pt idx="30">
                  <c:v>306 華悅城</c:v>
                </c:pt>
                <c:pt idx="31">
                  <c:v>404 詠勝市中欣</c:v>
                </c:pt>
                <c:pt idx="32">
                  <c:v>311 文華天際</c:v>
                </c:pt>
                <c:pt idx="33">
                  <c:v>409 新未來2</c:v>
                </c:pt>
                <c:pt idx="34">
                  <c:v>410 新未來3</c:v>
                </c:pt>
                <c:pt idx="35">
                  <c:v>401 竹城甲子園</c:v>
                </c:pt>
                <c:pt idx="36">
                  <c:v>407 富宇哈佛苑</c:v>
                </c:pt>
                <c:pt idx="37">
                  <c:v>206 玄泰V1</c:v>
                </c:pt>
                <c:pt idx="38">
                  <c:v>303 新潤翡麗</c:v>
                </c:pt>
                <c:pt idx="39">
                  <c:v>201 富宇上城</c:v>
                </c:pt>
                <c:pt idx="40">
                  <c:v>501 新未來1</c:v>
                </c:pt>
                <c:pt idx="41">
                  <c:v>402 金捷市</c:v>
                </c:pt>
                <c:pt idx="42">
                  <c:v>403 鴻築捷市達</c:v>
                </c:pt>
                <c:pt idx="43">
                  <c:v>302 欣時代</c:v>
                </c:pt>
                <c:pt idx="44">
                  <c:v>301 允將大作</c:v>
                </c:pt>
              </c:strCache>
            </c:strRef>
          </c:cat>
          <c:val>
            <c:numRef>
              <c:f>'Figure-7'!$B$4:$B$49</c:f>
              <c:numCache>
                <c:formatCode>General</c:formatCode>
                <c:ptCount val="45"/>
                <c:pt idx="0">
                  <c:v>13</c:v>
                </c:pt>
                <c:pt idx="1">
                  <c:v>13</c:v>
                </c:pt>
                <c:pt idx="2">
                  <c:v>14</c:v>
                </c:pt>
                <c:pt idx="3">
                  <c:v>14</c:v>
                </c:pt>
                <c:pt idx="4">
                  <c:v>14</c:v>
                </c:pt>
                <c:pt idx="5">
                  <c:v>14</c:v>
                </c:pt>
                <c:pt idx="6">
                  <c:v>14</c:v>
                </c:pt>
                <c:pt idx="7">
                  <c:v>14</c:v>
                </c:pt>
                <c:pt idx="8">
                  <c:v>14</c:v>
                </c:pt>
                <c:pt idx="9">
                  <c:v>15</c:v>
                </c:pt>
                <c:pt idx="10">
                  <c:v>15</c:v>
                </c:pt>
                <c:pt idx="11">
                  <c:v>15</c:v>
                </c:pt>
                <c:pt idx="12">
                  <c:v>15</c:v>
                </c:pt>
                <c:pt idx="13">
                  <c:v>15</c:v>
                </c:pt>
                <c:pt idx="14">
                  <c:v>15</c:v>
                </c:pt>
                <c:pt idx="15">
                  <c:v>15</c:v>
                </c:pt>
                <c:pt idx="16">
                  <c:v>15</c:v>
                </c:pt>
                <c:pt idx="17">
                  <c:v>15</c:v>
                </c:pt>
                <c:pt idx="18">
                  <c:v>15</c:v>
                </c:pt>
                <c:pt idx="19">
                  <c:v>15</c:v>
                </c:pt>
                <c:pt idx="20">
                  <c:v>15</c:v>
                </c:pt>
                <c:pt idx="21">
                  <c:v>15</c:v>
                </c:pt>
                <c:pt idx="22">
                  <c:v>15</c:v>
                </c:pt>
                <c:pt idx="23">
                  <c:v>15</c:v>
                </c:pt>
                <c:pt idx="24">
                  <c:v>15</c:v>
                </c:pt>
                <c:pt idx="25">
                  <c:v>15</c:v>
                </c:pt>
                <c:pt idx="26">
                  <c:v>15</c:v>
                </c:pt>
                <c:pt idx="27">
                  <c:v>15</c:v>
                </c:pt>
                <c:pt idx="28">
                  <c:v>15</c:v>
                </c:pt>
                <c:pt idx="29">
                  <c:v>15</c:v>
                </c:pt>
                <c:pt idx="30">
                  <c:v>18</c:v>
                </c:pt>
                <c:pt idx="31">
                  <c:v>22</c:v>
                </c:pt>
                <c:pt idx="32">
                  <c:v>22</c:v>
                </c:pt>
                <c:pt idx="33">
                  <c:v>22</c:v>
                </c:pt>
                <c:pt idx="34">
                  <c:v>22</c:v>
                </c:pt>
                <c:pt idx="35">
                  <c:v>24</c:v>
                </c:pt>
                <c:pt idx="36">
                  <c:v>24</c:v>
                </c:pt>
                <c:pt idx="37">
                  <c:v>24</c:v>
                </c:pt>
                <c:pt idx="38">
                  <c:v>24</c:v>
                </c:pt>
                <c:pt idx="39">
                  <c:v>24</c:v>
                </c:pt>
                <c:pt idx="40">
                  <c:v>28</c:v>
                </c:pt>
                <c:pt idx="41">
                  <c:v>28</c:v>
                </c:pt>
                <c:pt idx="42">
                  <c:v>29</c:v>
                </c:pt>
                <c:pt idx="43">
                  <c:v>30</c:v>
                </c:pt>
                <c:pt idx="44">
                  <c:v>31</c:v>
                </c:pt>
              </c:numCache>
            </c:numRef>
          </c:val>
          <c:extLst>
            <c:ext xmlns:c16="http://schemas.microsoft.com/office/drawing/2014/chart" uri="{C3380CC4-5D6E-409C-BE32-E72D297353CC}">
              <c16:uniqueId val="{00000002-517E-204E-BEC4-B5DEDC4AD79B}"/>
            </c:ext>
          </c:extLst>
        </c:ser>
        <c:dLbls>
          <c:showLegendKey val="0"/>
          <c:showVal val="1"/>
          <c:showCatName val="0"/>
          <c:showSerName val="0"/>
          <c:showPercent val="0"/>
          <c:showBubbleSize val="0"/>
        </c:dLbls>
        <c:gapWidth val="150"/>
        <c:overlap val="-25"/>
        <c:axId val="703089616"/>
        <c:axId val="702745648"/>
      </c:barChart>
      <c:catAx>
        <c:axId val="703089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702745648"/>
        <c:crosses val="autoZero"/>
        <c:auto val="1"/>
        <c:lblAlgn val="ctr"/>
        <c:lblOffset val="100"/>
        <c:noMultiLvlLbl val="0"/>
      </c:catAx>
      <c:valAx>
        <c:axId val="702745648"/>
        <c:scaling>
          <c:orientation val="minMax"/>
        </c:scaling>
        <c:delete val="1"/>
        <c:axPos val="b"/>
        <c:numFmt formatCode="General" sourceLinked="1"/>
        <c:majorTickMark val="none"/>
        <c:minorTickMark val="none"/>
        <c:tickLblPos val="nextTo"/>
        <c:crossAx val="703089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[A7XLK-1102-HouseBigData.xlsx]Figure-9!樞紐分析表9</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建案類別分配</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'Figure-9'!$B$3</c:f>
              <c:strCache>
                <c:ptCount val="1"/>
                <c:pt idx="0">
                  <c:v>合計</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0527-7848-9584-356B6A928520}"/>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0527-7848-9584-356B6A928520}"/>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0527-7848-9584-356B6A928520}"/>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0527-7848-9584-356B6A928520}"/>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0527-7848-9584-356B6A928520}"/>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2-0527-7848-9584-356B6A928520}"/>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2"/>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3-0527-7848-9584-356B6A928520}"/>
                </c:ext>
              </c:extLst>
            </c:dLbl>
            <c:dLbl>
              <c:idx val="2"/>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4-0527-7848-9584-356B6A928520}"/>
                </c:ext>
              </c:extLst>
            </c:dLbl>
            <c:dLbl>
              <c:idx val="3"/>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4"/>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5-0527-7848-9584-356B6A928520}"/>
                </c:ext>
              </c:extLst>
            </c:dLbl>
            <c:dLbl>
              <c:idx val="4"/>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0527-7848-9584-356B6A928520}"/>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'Figure-9'!$A$4:$A$9</c:f>
              <c:strCache>
                <c:ptCount val="5"/>
                <c:pt idx="0">
                  <c:v>中心商業區</c:v>
                </c:pt>
                <c:pt idx="1">
                  <c:v>產業專用區</c:v>
                </c:pt>
                <c:pt idx="2">
                  <c:v>第三種住宅區</c:v>
                </c:pt>
                <c:pt idx="3">
                  <c:v>第五種住宅區</c:v>
                </c:pt>
                <c:pt idx="4">
                  <c:v>第四種住宅區</c:v>
                </c:pt>
              </c:strCache>
            </c:strRef>
          </c:cat>
          <c:val>
            <c:numRef>
              <c:f>'Figure-9'!$B$4:$B$9</c:f>
              <c:numCache>
                <c:formatCode>General</c:formatCode>
                <c:ptCount val="5"/>
                <c:pt idx="0">
                  <c:v>10</c:v>
                </c:pt>
                <c:pt idx="1">
                  <c:v>2</c:v>
                </c:pt>
                <c:pt idx="2">
                  <c:v>13</c:v>
                </c:pt>
                <c:pt idx="3">
                  <c:v>15</c:v>
                </c:pt>
                <c:pt idx="4">
                  <c:v>9</c:v>
                </c:pt>
              </c:numCache>
            </c:numRef>
          </c:val>
          <c:extLst>
            <c:ext xmlns:c16="http://schemas.microsoft.com/office/drawing/2014/chart" uri="{C3380CC4-5D6E-409C-BE32-E72D297353CC}">
              <c16:uniqueId val="{00000000-0527-7848-9584-356B6A928520}"/>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TW" altLang="en-US" sz="2400" baseline="0">
                <a:ea typeface="楷體-繁" panose="02010600040101010101" pitchFamily="2" charset="-120"/>
              </a:rPr>
              <a:t>各分區 新建案 住家與商店數分佈</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TW"/>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3.2183908045977011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6906170752325218E-3"/>
              <c:y val="-2.2988505747126436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2.758620689655176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2397715332239249E-16"/>
              <c:y val="-3.9080459770114984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6906170752324597E-3"/>
              <c:y val="-3.4482758620689655E-2"/>
            </c:manualLayout>
          </c:layout>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'Figure-10'!$B$3</c:f>
              <c:strCache>
                <c:ptCount val="1"/>
                <c:pt idx="0">
                  <c:v>加總 - 住家戶數</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FDFD-9F49-9DAE-ACF7FF395A23}"/>
            </c:ext>
          </c:extLst>
        </c:ser>
        <c:ser>
          <c:idx val="1"/>
          <c:order val="1"/>
          <c:tx>
            <c:strRef>
              <c:f>'Figure-10'!$C$3</c:f>
              <c:strCache>
                <c:ptCount val="1"/>
                <c:pt idx="0">
                  <c:v>加總 - 商店戶數</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FDFD-9F49-9DAE-ACF7FF395A23}"/>
              </c:ext>
            </c:extLst>
          </c:dPt>
          <c:dPt>
            <c:idx val="1"/>
            <c:invertIfNegative val="0"/>
            <c:bubble3D val="0"/>
            <c:extLst>
              <c:ext xmlns:c16="http://schemas.microsoft.com/office/drawing/2014/chart" uri="{C3380CC4-5D6E-409C-BE32-E72D297353CC}">
                <c16:uniqueId val="{00000005-FDFD-9F49-9DAE-ACF7FF395A23}"/>
              </c:ext>
            </c:extLst>
          </c:dPt>
          <c:dPt>
            <c:idx val="2"/>
            <c:invertIfNegative val="0"/>
            <c:bubble3D val="0"/>
            <c:extLst>
              <c:ext xmlns:c16="http://schemas.microsoft.com/office/drawing/2014/chart" uri="{C3380CC4-5D6E-409C-BE32-E72D297353CC}">
                <c16:uniqueId val="{00000006-FDFD-9F49-9DAE-ACF7FF395A23}"/>
              </c:ext>
            </c:extLst>
          </c:dPt>
          <c:dPt>
            <c:idx val="3"/>
            <c:invertIfNegative val="0"/>
            <c:bubble3D val="0"/>
            <c:extLst>
              <c:ext xmlns:c16="http://schemas.microsoft.com/office/drawing/2014/chart" uri="{C3380CC4-5D6E-409C-BE32-E72D297353CC}">
                <c16:uniqueId val="{00000007-FDFD-9F49-9DAE-ACF7FF395A23}"/>
              </c:ext>
            </c:extLst>
          </c:dPt>
          <c:dPt>
            <c:idx val="4"/>
            <c:invertIfNegative val="0"/>
            <c:bubble3D val="0"/>
            <c:extLst>
              <c:ext xmlns:c16="http://schemas.microsoft.com/office/drawing/2014/chart" uri="{C3380CC4-5D6E-409C-BE32-E72D297353CC}">
                <c16:uniqueId val="{00000008-FDFD-9F49-9DAE-ACF7FF395A23}"/>
              </c:ext>
            </c:extLst>
          </c:dPt>
          <c:dLbls>
            <c:dLbl>
              <c:idx val="0"/>
              <c:layout>
                <c:manualLayout>
                  <c:x val="0"/>
                  <c:y val="-3.2183908045977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FD-9F49-9DAE-ACF7FF395A23}"/>
                </c:ext>
              </c:extLst>
            </c:dLbl>
            <c:dLbl>
              <c:idx val="1"/>
              <c:layout>
                <c:manualLayout>
                  <c:x val="-1.6906170752325218E-3"/>
                  <c:y val="-2.29885057471264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FD-9F49-9DAE-ACF7FF395A23}"/>
                </c:ext>
              </c:extLst>
            </c:dLbl>
            <c:dLbl>
              <c:idx val="2"/>
              <c:layout>
                <c:manualLayout>
                  <c:x val="0"/>
                  <c:y val="-2.75862068965517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FD-9F49-9DAE-ACF7FF395A23}"/>
                </c:ext>
              </c:extLst>
            </c:dLbl>
            <c:dLbl>
              <c:idx val="3"/>
              <c:layout>
                <c:manualLayout>
                  <c:x val="-1.2397715332239249E-16"/>
                  <c:y val="-3.90804597701149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FD-9F49-9DAE-ACF7FF395A23}"/>
                </c:ext>
              </c:extLst>
            </c:dLbl>
            <c:dLbl>
              <c:idx val="4"/>
              <c:layout>
                <c:manualLayout>
                  <c:x val="1.6906170752324597E-3"/>
                  <c:y val="-3.44827586206896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FD-9F49-9DAE-ACF7FF395A23}"/>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FDFD-9F49-9DAE-ACF7FF395A23}"/>
            </c:ext>
          </c:extLst>
        </c:ser>
        <c:dLbls>
          <c:showLegendKey val="0"/>
          <c:showVal val="1"/>
          <c:showCatName val="0"/>
          <c:showSerName val="0"/>
          <c:showPercent val="0"/>
          <c:showBubbleSize val="0"/>
        </c:dLbls>
        <c:gapWidth val="150"/>
        <c:overlap val="100"/>
        <c:axId val="1985214847"/>
        <c:axId val="1968532431"/>
      </c:barChart>
      <c:catAx>
        <c:axId val="198521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968532431"/>
        <c:crosses val="autoZero"/>
        <c:auto val="1"/>
        <c:lblAlgn val="ctr"/>
        <c:lblOffset val="100"/>
        <c:noMultiLvlLbl val="0"/>
      </c:catAx>
      <c:valAx>
        <c:axId val="1968532431"/>
        <c:scaling>
          <c:orientation val="minMax"/>
        </c:scaling>
        <c:delete val="1"/>
        <c:axPos val="l"/>
        <c:numFmt formatCode="#,##0_ " sourceLinked="1"/>
        <c:majorTickMark val="none"/>
        <c:minorTickMark val="none"/>
        <c:tickLblPos val="nextTo"/>
        <c:crossAx val="19852148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[A7XLK-1102-HouseBigData.xlsx]Figure-10!樞紐分析表1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ltLang="zh-TW" sz="3200" baseline="0">
                <a:ea typeface="楷體-繁" panose="02010600040101010101" pitchFamily="2" charset="-120"/>
              </a:rPr>
              <a:t>A7 </a:t>
            </a:r>
            <a:r>
              <a:rPr lang="zh-TW" altLang="en-US" sz="3200" baseline="0">
                <a:ea typeface="楷體-繁" panose="02010600040101010101" pitchFamily="2" charset="-120"/>
              </a:rPr>
              <a:t>重劃區建案數分佈</a:t>
            </a:r>
          </a:p>
        </c:rich>
      </c:tx>
      <c:overlay val="0"/>
      <c:spPr>
        <a:noFill/>
        <a:ln>
          <a:noFill/>
        </a:ln>
        <a:effectLst/>
      </c:sp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pPr>
            <a:solidFill>
              <a:schemeClr val="accent1"/>
            </a:solidFill>
            <a:ln w="9525">
              <a:solidFill>
                <a:schemeClr val="lt1"/>
              </a:solidFill>
            </a:ln>
            <a:effectLst/>
          </c:spPr>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9"/>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Lst>
        </c:dLbl>
      </c:pivotFmt>
      <c:pivotFmt>
        <c:idx val="12"/>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7"/>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'Figure-10'!$B$3</c:f>
              <c:strCache>
                <c:ptCount val="1"/>
                <c:pt idx="0">
                  <c:v>加總 - 住家戶數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8-BC6F-FB43-A2D7-2607B5668C46}"/>
              </c:ext>
            </c:extLst>
          </c:dPt>
          <c:dLbls>
            <c:dLbl>
              <c:idx val="1"/>
              <c:layout>
                <c:manualLayout>
                  <c:x val="-4.7585724282715187E-2"/>
                  <c:y val="-5.982905982905983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2"/>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C6F-FB43-A2D7-2607B5668C46}"/>
                </c:ext>
              </c:extLst>
            </c:dLbl>
            <c:dLbl>
              <c:idx val="2"/>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3"/>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6-BC6F-FB43-A2D7-2607B5668C46}"/>
                </c:ext>
              </c:extLst>
            </c:dLbl>
            <c:dLbl>
              <c:idx val="3"/>
              <c:layout>
                <c:manualLayout>
                  <c:x val="3.2890132960111965E-2"/>
                  <c:y val="0.29487179487179488"/>
                </c:manualLayout>
              </c:layout>
              <c:spPr>
                <a:noFill/>
                <a:ln>
                  <a:noFill/>
                </a:ln>
                <a:effectLst/>
              </c:spPr>
              <c:txPr>
                <a:bodyPr rot="0" spcFirstLastPara="1" vertOverflow="ellipsis" vert="horz" wrap="square" lIns="38100" tIns="19050" rIns="38100" bIns="19050" anchor="ctr" anchorCtr="1">
                  <a:noAutofit/>
                </a:bodyPr>
                <a:lstStyle/>
                <a:p>
                  <a:pPr>
                    <a:defRPr sz="1600" b="1" i="0" u="none" strike="noStrike" kern="1200" spc="0" baseline="0">
                      <a:solidFill>
                        <a:schemeClr val="accent4"/>
                      </a:solidFill>
                      <a:latin typeface="+mn-lt"/>
                      <a:ea typeface="楷體-繁" panose="02010600040101010101" pitchFamily="2" charset="-120"/>
                      <a:cs typeface="+mn-cs"/>
                    </a:defRPr>
                  </a:pPr>
                  <a:endParaRPr lang="zh-TW"/>
                </a:p>
              </c:txPr>
              <c:dLblPos val="bestFit"/>
              <c:showLegendKey val="0"/>
              <c:showVal val="0"/>
              <c:showCatName val="1"/>
              <c:showSerName val="0"/>
              <c:showPercent val="1"/>
              <c:showBubbleSize val="0"/>
              <c:extLst>
                <c:ext xmlns:c15="http://schemas.microsoft.com/office/drawing/2012/chart" uri="{CE6537A1-D6FC-4f65-9D91-7224C49458BB}">
                  <c15:layout>
                    <c:manualLayout>
                      <c:w val="0.36023087561920403"/>
                      <c:h val="0.20677350427350427"/>
                    </c:manualLayout>
                  </c15:layout>
                </c:ext>
                <c:ext xmlns:c16="http://schemas.microsoft.com/office/drawing/2014/chart" uri="{C3380CC4-5D6E-409C-BE32-E72D297353CC}">
                  <c16:uniqueId val="{00000007-BC6F-FB43-A2D7-2607B5668C46}"/>
                </c:ext>
              </c:extLst>
            </c:dLbl>
            <c:dLbl>
              <c:idx val="4"/>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5"/>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extLst>
                <c:ext xmlns:c16="http://schemas.microsoft.com/office/drawing/2014/chart" uri="{C3380CC4-5D6E-409C-BE32-E72D297353CC}">
                  <c16:uniqueId val="{00000008-BC6F-FB43-A2D7-2607B5668C46}"/>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spc="0" baseline="0">
                    <a:solidFill>
                      <a:schemeClr val="accent1"/>
                    </a:solidFill>
                    <a:latin typeface="+mn-lt"/>
                    <a:ea typeface="楷體-繁" panose="02010600040101010101" pitchFamily="2" charset="-120"/>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'Figure-10'!$B$4:$B$9</c:f>
              <c:numCache>
                <c:formatCode>#,##0_ </c:formatCode>
                <c:ptCount val="5"/>
                <c:pt idx="0">
                  <c:v>1546</c:v>
                </c:pt>
                <c:pt idx="1">
                  <c:v>3242</c:v>
                </c:pt>
                <c:pt idx="2">
                  <c:v>3815</c:v>
                </c:pt>
                <c:pt idx="3">
                  <c:v>5929</c:v>
                </c:pt>
                <c:pt idx="4">
                  <c:v>5913</c:v>
                </c:pt>
              </c:numCache>
            </c:numRef>
          </c:val>
          <c:extLst>
            <c:ext xmlns:c16="http://schemas.microsoft.com/office/drawing/2014/chart" uri="{C3380CC4-5D6E-409C-BE32-E72D297353CC}">
              <c16:uniqueId val="{00000000-BC6F-FB43-A2D7-2607B5668C46}"/>
            </c:ext>
          </c:extLst>
        </c:ser>
        <c:ser>
          <c:idx val="1"/>
          <c:order val="1"/>
          <c:tx>
            <c:strRef>
              <c:f>'Figure-10'!$C$3</c:f>
              <c:strCache>
                <c:ptCount val="1"/>
                <c:pt idx="0">
                  <c:v>加總 - 商店戶數</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BC6F-FB43-A2D7-2607B5668C46}"/>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A-BC6F-FB43-A2D7-2607B5668C46}"/>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BC6F-FB43-A2D7-2607B5668C46}"/>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C-BC6F-FB43-A2D7-2607B5668C46}"/>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BC6F-FB43-A2D7-2607B5668C4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zh-TW"/>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'Figure-10'!$A$4:$A$9</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'Figure-10'!$C$4:$C$9</c:f>
              <c:numCache>
                <c:formatCode>General</c:formatCode>
                <c:ptCount val="5"/>
                <c:pt idx="0">
                  <c:v>81</c:v>
                </c:pt>
                <c:pt idx="1">
                  <c:v>41</c:v>
                </c:pt>
                <c:pt idx="2">
                  <c:v>72</c:v>
                </c:pt>
                <c:pt idx="3">
                  <c:v>168</c:v>
                </c:pt>
                <c:pt idx="4">
                  <c:v>31</c:v>
                </c:pt>
              </c:numCache>
            </c:numRef>
          </c:val>
          <c:extLst>
            <c:ext xmlns:c16="http://schemas.microsoft.com/office/drawing/2014/chart" uri="{C3380CC4-5D6E-409C-BE32-E72D297353CC}">
              <c16:uniqueId val="{00000001-BC6F-FB43-A2D7-2607B5668C46}"/>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zh-TW" altLang="en-US" sz="2400" baseline="0">
                <a:ea typeface="楷體-繁" panose="02010600040101010101" pitchFamily="2" charset="-120"/>
              </a:rPr>
              <a:t>各類型住宅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ea typeface="楷體-繁" panose="02010600040101010101" pitchFamily="2" charset="-120"/>
              </a:rPr>
              <a:t>)</a:t>
            </a:r>
            <a:endParaRPr lang="zh-TW" altLang="en-US" sz="2400" baseline="0">
              <a:ea typeface="楷體-繁" panose="02010600040101010101" pitchFamily="2" charset="-12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'Figure-11'!$A$4:$A$9</c:f>
              <c:strCache>
                <c:ptCount val="5"/>
                <c:pt idx="0">
                  <c:v>中心商業區</c:v>
                </c:pt>
                <c:pt idx="1">
                  <c:v>產業專用區</c:v>
                </c:pt>
                <c:pt idx="2">
                  <c:v>第三種住宅區</c:v>
                </c:pt>
                <c:pt idx="3">
                  <c:v>第五種住宅區</c:v>
                </c:pt>
                <c:pt idx="4">
                  <c:v>第四種住宅區</c:v>
                </c:pt>
              </c:strCache>
            </c:strRef>
          </c:cat>
          <c:val>
            <c:numRef>
              <c:f>'Figure-11'!$B$4:$B$9</c:f>
              <c:numCache>
                <c:formatCode>0.0_ </c:formatCode>
                <c:ptCount val="5"/>
                <c:pt idx="0">
                  <c:v>31.4</c:v>
                </c:pt>
                <c:pt idx="1">
                  <c:v>30.5</c:v>
                </c:pt>
                <c:pt idx="2">
                  <c:v>31.322222222222219</c:v>
                </c:pt>
                <c:pt idx="3">
                  <c:v>29.433333333333334</c:v>
                </c:pt>
                <c:pt idx="4">
                  <c:v>26.833333333333332</c:v>
                </c:pt>
              </c:numCache>
            </c:numRef>
          </c:val>
          <c:extLst>
            <c:ext xmlns:c16="http://schemas.microsoft.com/office/drawing/2014/chart" uri="{C3380CC4-5D6E-409C-BE32-E72D297353CC}">
              <c16:uniqueId val="{00000000-2AF6-8B47-97BE-5F4C769B85D6}"/>
            </c:ext>
          </c:extLst>
        </c:ser>
        <c:dLbls>
          <c:showLegendKey val="0"/>
          <c:showVal val="1"/>
          <c:showCatName val="0"/>
          <c:showSerName val="0"/>
          <c:showPercent val="0"/>
          <c:showBubbleSize val="0"/>
        </c:dLbls>
        <c:gapWidth val="100"/>
        <c:overlap val="-24"/>
        <c:axId val="2143526687"/>
        <c:axId val="249653024"/>
      </c:barChart>
      <c:catAx>
        <c:axId val="214352668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249653024"/>
        <c:crosses val="autoZero"/>
        <c:auto val="1"/>
        <c:lblAlgn val="ctr"/>
        <c:lblOffset val="100"/>
        <c:noMultiLvlLbl val="0"/>
      </c:catAx>
      <c:valAx>
        <c:axId val="249653024"/>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2143526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[A7XLK-1102-HouseBigData.xlsx]Figure-11!樞紐分析表2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ltLang="zh-TW" sz="2400" baseline="0">
                <a:ea typeface="楷體-繁" panose="02010600040101010101" pitchFamily="2" charset="-120"/>
              </a:rPr>
              <a:t>A7 </a:t>
            </a:r>
            <a:r>
              <a:rPr lang="zh-TW" altLang="en-US" sz="2400" baseline="0">
                <a:ea typeface="楷體-繁" panose="02010600040101010101" pitchFamily="2" charset="-120"/>
              </a:rPr>
              <a:t>重劃分區 每坪均價 </a:t>
            </a:r>
            <a:r>
              <a:rPr lang="en-US" altLang="zh-TW" sz="2400" baseline="0">
                <a:ea typeface="楷體-繁" panose="02010600040101010101" pitchFamily="2" charset="-120"/>
              </a:rPr>
              <a:t>(</a:t>
            </a:r>
            <a:r>
              <a:rPr lang="zh-TW" altLang="en-US" sz="2400" baseline="0">
                <a:ea typeface="楷體-繁" panose="02010600040101010101" pitchFamily="2" charset="-120"/>
              </a:rPr>
              <a:t>萬元</a:t>
            </a:r>
            <a:r>
              <a:rPr lang="en-US" altLang="zh-TW" sz="2400" baseline="0"/>
              <a:t>)</a:t>
            </a:r>
            <a:endParaRPr lang="zh-TW" altLang="en-US" sz="2400" baseline="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zh-T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'Figure-11'!$B$37</c:f>
              <c:strCache>
                <c:ptCount val="1"/>
                <c:pt idx="0">
                  <c:v>合計</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2"/>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'Figure-11'!$A$38:$A$43</c:f>
              <c:strCache>
                <c:ptCount val="5"/>
                <c:pt idx="0">
                  <c:v>1.樂善國小生活圈</c:v>
                </c:pt>
                <c:pt idx="1">
                  <c:v>2.樂善園區周邊</c:v>
                </c:pt>
                <c:pt idx="2">
                  <c:v>3.華亞園區周邊</c:v>
                </c:pt>
                <c:pt idx="3">
                  <c:v>4.中心商業區及文青國中小生活圈</c:v>
                </c:pt>
                <c:pt idx="4">
                  <c:v>5.合宜住宅區</c:v>
                </c:pt>
              </c:strCache>
            </c:strRef>
          </c:cat>
          <c:val>
            <c:numRef>
              <c:f>'Figure-11'!$B$38:$B$43</c:f>
              <c:numCache>
                <c:formatCode>0.0_ </c:formatCode>
                <c:ptCount val="5"/>
                <c:pt idx="0">
                  <c:v>26.214285714285715</c:v>
                </c:pt>
                <c:pt idx="1">
                  <c:v>29</c:v>
                </c:pt>
                <c:pt idx="2">
                  <c:v>28.636363636363637</c:v>
                </c:pt>
                <c:pt idx="3">
                  <c:v>31.526666666666664</c:v>
                </c:pt>
                <c:pt idx="4">
                  <c:v>33.1</c:v>
                </c:pt>
              </c:numCache>
            </c:numRef>
          </c:val>
          <c:extLst>
            <c:ext xmlns:c16="http://schemas.microsoft.com/office/drawing/2014/chart" uri="{C3380CC4-5D6E-409C-BE32-E72D297353CC}">
              <c16:uniqueId val="{00000000-FFCB-5341-BC42-ACF2068483AD}"/>
            </c:ext>
          </c:extLst>
        </c:ser>
        <c:dLbls>
          <c:showLegendKey val="0"/>
          <c:showVal val="1"/>
          <c:showCatName val="0"/>
          <c:showSerName val="0"/>
          <c:showPercent val="0"/>
          <c:showBubbleSize val="0"/>
        </c:dLbls>
        <c:gapWidth val="100"/>
        <c:overlap val="-24"/>
        <c:axId val="469984608"/>
        <c:axId val="469986256"/>
      </c:barChart>
      <c:catAx>
        <c:axId val="4699846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楷體-繁" panose="02010600040101010101" pitchFamily="2" charset="-120"/>
                <a:cs typeface="+mn-cs"/>
              </a:defRPr>
            </a:pPr>
            <a:endParaRPr lang="zh-TW"/>
          </a:p>
        </c:txPr>
        <c:crossAx val="469986256"/>
        <c:crosses val="autoZero"/>
        <c:auto val="1"/>
        <c:lblAlgn val="ctr"/>
        <c:lblOffset val="100"/>
        <c:noMultiLvlLbl val="0"/>
      </c:catAx>
      <c:valAx>
        <c:axId val="469986256"/>
        <c:scaling>
          <c:orientation val="minMax"/>
        </c:scaling>
        <c:delete val="0"/>
        <c:axPos val="l"/>
        <c:majorGridlines>
          <c:spPr>
            <a:ln w="9525" cap="flat" cmpd="sng" algn="ctr">
              <a:solidFill>
                <a:schemeClr val="tx2">
                  <a:lumMod val="15000"/>
                  <a:lumOff val="85000"/>
                </a:schemeClr>
              </a:solidFill>
              <a:round/>
            </a:ln>
            <a:effectLst/>
          </c:spPr>
        </c:majorGridlines>
        <c:numFmt formatCode="0.0_ "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zh-TW"/>
          </a:p>
        </c:txPr>
        <c:crossAx val="469984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[A7XLK-1102-HouseBigData.xlsx]車位分配!樞紐分析表1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重劃區 每戶汽車車位配比</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車位分配!$B$3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車位分配!$A$4:$A$9</c:f>
              <c:strCache>
                <c:ptCount val="5"/>
                <c:pt idx="0">
                  <c:v>中心商業區</c:v>
                </c:pt>
                <c:pt idx="1">
                  <c:v>產業專用區</c:v>
                </c:pt>
                <c:pt idx="2">
                  <c:v>第三種住宅區</c:v>
                </c:pt>
                <c:pt idx="3">
                  <c:v>第五種住宅區</c:v>
                </c:pt>
                <c:pt idx="4">
                  <c:v>第四種住宅區</c:v>
                </c:pt>
              </c:strCache>
            </c:strRef>
          </c:cat>
          <c:val>
            <c:numRef>
              <c:f>車位分配!$B$4:$B$9</c:f>
              <c:numCache>
                <c:formatCode>0.00_ </c:formatCode>
                <c:ptCount val="5"/>
                <c:pt idx="0">
                  <c:v>0.94555555555555548</c:v>
                </c:pt>
                <c:pt idx="1">
                  <c:v>1.07</c:v>
                </c:pt>
                <c:pt idx="2">
                  <c:v>0.98</c:v>
                </c:pt>
                <c:pt idx="3">
                  <c:v>0.98066666666666669</c:v>
                </c:pt>
                <c:pt idx="4">
                  <c:v>1.0011111111111111</c:v>
                </c:pt>
              </c:numCache>
            </c:numRef>
          </c:val>
          <c:extLst>
            <c:ext xmlns:c16="http://schemas.microsoft.com/office/drawing/2014/chart" uri="{C3380CC4-5D6E-409C-BE32-E72D297353CC}">
              <c16:uniqueId val="{00000000-8018-9949-9B7B-FFD386E572CB}"/>
            </c:ext>
          </c:extLst>
        </c:ser>
        <c:dLbls>
          <c:showLegendKey val="0"/>
          <c:showVal val="1"/>
          <c:showCatName val="0"/>
          <c:showSerName val="0"/>
          <c:showPercent val="0"/>
          <c:showBubbleSize val="0"/>
        </c:dLbls>
        <c:gapWidth val="150"/>
        <c:overlap val="-25"/>
        <c:axId val="688088991"/>
        <c:axId val="688462959"/>
      </c:barChart>
      <c:catAx>
        <c:axId val="68808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688462959"/>
        <c:crosses val="autoZero"/>
        <c:auto val="1"/>
        <c:lblAlgn val="ctr"/>
        <c:lblOffset val="100"/>
        <c:noMultiLvlLbl val="0"/>
      </c:catAx>
      <c:valAx>
        <c:axId val="688462959"/>
        <c:scaling>
          <c:orientation val="minMax"/>
        </c:scaling>
        <c:delete val="1"/>
        <c:axPos val="l"/>
        <c:numFmt formatCode="0.00_ " sourceLinked="1"/>
        <c:majorTickMark val="none"/>
        <c:minorTickMark val="none"/>
        <c:tickLblPos val="nextTo"/>
        <c:crossAx val="688088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0"/>
  <mc:AlternateContent xmlns:mc="http://schemas.openxmlformats.org/markup-compatibility/2006">
    <mc:Choice xmlns:c14="http://schemas.microsoft.com/office/drawing/2007/8/2/chart" Requires="c14">
      <c14:style val="102"/>
    </mc:Choice>
    <mc:Fallback>
      <c:style val="2"/>
    </mc:Fallback>
  </mc:AlternateContent>
  <c:pivotSource>
    <c:name>[A7XLK-1102-HouseBigData.xlsx]Figure-12!樞紐分析表1</c:name>
    <c:fmtId val="0"/>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r>
              <a:rPr lang="en-US" altLang="zh-TW" sz="2800" baseline="0">
                <a:ea typeface="楷體-繁" panose="02010600040101010101" pitchFamily="2" charset="-120"/>
              </a:rPr>
              <a:t>A7</a:t>
            </a:r>
            <a:r>
              <a:rPr lang="zh-TW" altLang="en-US" sz="2800" baseline="0">
                <a:ea typeface="楷體-繁" panose="02010600040101010101" pitchFamily="2" charset="-120"/>
              </a:rPr>
              <a:t>建設公司平均房價（每坪單價）</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楷體-繁" panose="02010600040101010101" pitchFamily="2" charset="-120"/>
              <a:cs typeface="+mn-cs"/>
            </a:defRPr>
          </a:pPr>
          <a:endParaRPr lang="zh-T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'Figure-12'!$B$3</c:f>
              <c:strCache>
                <c:ptCount val="1"/>
                <c:pt idx="0">
                  <c:v>合計</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zh-TW"/>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'Figure-12'!$A$4:$A$19</c:f>
              <c:strCache>
                <c:ptCount val="15"/>
                <c:pt idx="0">
                  <c:v>允將建設</c:v>
                </c:pt>
                <c:pt idx="1">
                  <c:v>大亮建築</c:v>
                </c:pt>
                <c:pt idx="2">
                  <c:v>遠雄建設</c:v>
                </c:pt>
                <c:pt idx="3">
                  <c:v>富宇建設</c:v>
                </c:pt>
                <c:pt idx="4">
                  <c:v>合謙建設</c:v>
                </c:pt>
                <c:pt idx="5">
                  <c:v>頤昌建設</c:v>
                </c:pt>
                <c:pt idx="6">
                  <c:v>櫻花建設</c:v>
                </c:pt>
                <c:pt idx="7">
                  <c:v>君悅建設</c:v>
                </c:pt>
                <c:pt idx="8">
                  <c:v>詠勝開發</c:v>
                </c:pt>
                <c:pt idx="9">
                  <c:v>竹城建設</c:v>
                </c:pt>
                <c:pt idx="10">
                  <c:v>禾聯建築</c:v>
                </c:pt>
                <c:pt idx="11">
                  <c:v>玄泰建設</c:v>
                </c:pt>
                <c:pt idx="12">
                  <c:v>興富發建設</c:v>
                </c:pt>
                <c:pt idx="13">
                  <c:v>寶佳集團</c:v>
                </c:pt>
                <c:pt idx="14">
                  <c:v>新潤建設</c:v>
                </c:pt>
              </c:strCache>
            </c:strRef>
          </c:cat>
          <c:val>
            <c:numRef>
              <c:f>'Figure-12'!$B$4:$B$19</c:f>
              <c:numCache>
                <c:formatCode>#,##0.00_ </c:formatCode>
                <c:ptCount val="15"/>
                <c:pt idx="0">
                  <c:v>36.5</c:v>
                </c:pt>
                <c:pt idx="1">
                  <c:v>35.5</c:v>
                </c:pt>
                <c:pt idx="2">
                  <c:v>34</c:v>
                </c:pt>
                <c:pt idx="3">
                  <c:v>34</c:v>
                </c:pt>
                <c:pt idx="4">
                  <c:v>33.5</c:v>
                </c:pt>
                <c:pt idx="5">
                  <c:v>31.25</c:v>
                </c:pt>
                <c:pt idx="6">
                  <c:v>30</c:v>
                </c:pt>
                <c:pt idx="7">
                  <c:v>29.9</c:v>
                </c:pt>
                <c:pt idx="8">
                  <c:v>29.5</c:v>
                </c:pt>
                <c:pt idx="9">
                  <c:v>28.666666666666668</c:v>
                </c:pt>
                <c:pt idx="10">
                  <c:v>28.5</c:v>
                </c:pt>
                <c:pt idx="11">
                  <c:v>28</c:v>
                </c:pt>
                <c:pt idx="12">
                  <c:v>28</c:v>
                </c:pt>
                <c:pt idx="13">
                  <c:v>27.85</c:v>
                </c:pt>
                <c:pt idx="14">
                  <c:v>27.5</c:v>
                </c:pt>
              </c:numCache>
            </c:numRef>
          </c:val>
          <c:extLst>
            <c:ext xmlns:c16="http://schemas.microsoft.com/office/drawing/2014/chart" uri="{C3380CC4-5D6E-409C-BE32-E72D297353CC}">
              <c16:uniqueId val="{00000000-7D55-FF4A-AF56-797A84DBB8A5}"/>
            </c:ext>
          </c:extLst>
        </c:ser>
        <c:dLbls>
          <c:showLegendKey val="0"/>
          <c:showVal val="1"/>
          <c:showCatName val="0"/>
          <c:showSerName val="0"/>
          <c:showPercent val="0"/>
          <c:showBubbleSize val="0"/>
        </c:dLbls>
        <c:gapWidth val="150"/>
        <c:overlap val="-25"/>
        <c:axId val="1220052816"/>
        <c:axId val="1247619184"/>
      </c:barChart>
      <c:catAx>
        <c:axId val="1220052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楷體-繁" panose="02010600040101010101" pitchFamily="2" charset="-120"/>
                <a:cs typeface="+mn-cs"/>
              </a:defRPr>
            </a:pPr>
            <a:endParaRPr lang="zh-TW"/>
          </a:p>
        </c:txPr>
        <c:crossAx val="1247619184"/>
        <c:crosses val="autoZero"/>
        <c:auto val="1"/>
        <c:lblAlgn val="ctr"/>
        <c:lblOffset val="100"/>
        <c:noMultiLvlLbl val="0"/>
      </c:catAx>
      <c:valAx>
        <c:axId val="1247619184"/>
        <c:scaling>
          <c:orientation val="minMax"/>
        </c:scaling>
        <c:delete val="1"/>
        <c:axPos val="l"/>
        <c:numFmt formatCode="#,##0.00_ " sourceLinked="1"/>
        <c:majorTickMark val="none"/>
        <c:minorTickMark val="none"/>
        <c:tickLblPos val="nextTo"/>
        <c:crossAx val="12200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T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rich>
          <a:bodyPr rot="0" spcFirstLastPara="1" vertOverflow="ellipsis" vert="horz" wrap="square" lIns="38100" tIns="19050" rIns="38100" bIns="19050" anchor="ctr" anchorCtr="1" compatLnSpc="0"/>
          <a:lstStyle/>
          <a:p>
            <a:pPr algn="ctr" rtl="0">
              <a:defRPr sz="1400" b="0" i="0" u="none" strike="noStrike" baseline="0">
                <a:solidFill>
                  <a:sysClr val="windowText" lastClr="000000">
                    <a:lumMod val="65000"/>
                    <a:lumOff val="35000"/>
                  </a:sysClr>
                </a:solidFill>
                <a:latin typeface="+mn-lt"/>
                <a:ea typeface="+mn-ea"/>
                <a:cs typeface="+mn-cs"/>
              </a:defRPr>
            </a:pPr>
            <a:r>
              <a:rPr kumimoji="0" lang="zh-TW" altLang="en-US" sz="2400" b="0" i="0" u="none" strike="noStrike" kern="0" cap="none" spc="0" normalizeH="0" baseline="0" noProof="0">
                <a:ln>
                  <a:noFill/>
                </a:ln>
                <a:solidFill>
                  <a:sysClr val="windowText" lastClr="000000">
                    <a:lumMod val="65000"/>
                    <a:lumOff val="35000"/>
                  </a:sysClr>
                </a:solidFill>
                <a:effectLst/>
                <a:uLnTx/>
                <a:uFillTx/>
                <a:latin typeface="Calibri" panose="020F0502020204030204"/>
                <a:ea typeface="楷體-繁" panose="02010600040101010101" pitchFamily="2" charset="-120"/>
              </a:rPr>
              <a:t>建案 車位配比</a:t>
            </a:r>
            <a:endParaRPr lang="en-US" altLang="zh-TW" sz="24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plotArea>
      <cx:plotAreaRegion>
        <cx:series layoutId="clusteredColumn" uniqueId="{510CAD4F-4884-7443-A011-103B6BBA1FD2}">
          <cx:tx>
            <cx:txData>
              <cx:f>_xlchart.v1.1</cx:f>
              <cx:v>車位配比</cx:v>
            </cx:txData>
          </cx:tx>
          <cx:dataId val="0"/>
          <cx:layoutPr>
            <cx:binning intervalClosed="r"/>
          </cx:layoutPr>
        </cx:series>
      </cx:plotAreaRegion>
      <cx:axis id="0">
        <cx:catScaling gapWidth="0"/>
        <cx:tickLabels/>
        <cx:txPr>
          <a:bodyPr spcFirstLastPara="1" vertOverflow="ellipsis" horzOverflow="overflow" wrap="square" lIns="0" tIns="0" rIns="0" bIns="0" anchor="ctr" anchorCtr="1"/>
          <a:lstStyle/>
          <a:p>
            <a:pPr algn="ctr" rtl="0">
              <a:defRPr sz="1200" baseline="0"/>
            </a:pPr>
            <a:endParaRPr lang="zh-TW" altLang="en-US" sz="12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axis id="1">
        <cx:valScaling/>
        <cx:title>
          <cx:tx>
            <cx:rich>
              <a:bodyPr spcFirstLastPara="1" vertOverflow="ellipsis" horzOverflow="overflow" wrap="square" lIns="0" tIns="0" rIns="0" bIns="0" anchor="ctr" anchorCtr="1"/>
              <a:lstStyle/>
              <a:p>
                <a:pPr algn="ctr" rtl="0">
                  <a:defRPr sz="1600" baseline="0"/>
                </a:pPr>
                <a:r>
                  <a:rPr lang="zh-TW" altLang="en-US" sz="1600" b="0" i="0" u="none" strike="noStrike" baseline="0">
                    <a:solidFill>
                      <a:sysClr val="windowText" lastClr="000000">
                        <a:lumMod val="65000"/>
                        <a:lumOff val="35000"/>
                      </a:sysClr>
                    </a:solidFill>
                    <a:latin typeface="Calibri" panose="020F0502020204030204"/>
                    <a:ea typeface="楷體-繁" panose="02010600040101010101" pitchFamily="2" charset="-120"/>
                  </a:rPr>
                  <a:t>建案數</a:t>
                </a:r>
                <a:endParaRPr lang="en-US" altLang="zh-TW" sz="1600" b="0" i="0" u="none" strike="noStrike" baseline="0">
                  <a:solidFill>
                    <a:sysClr val="windowText" lastClr="000000">
                      <a:lumMod val="65000"/>
                      <a:lumOff val="35000"/>
                    </a:sysClr>
                  </a:solidFill>
                  <a:latin typeface="Calibri" panose="020F0502020204030204"/>
                  <a:ea typeface="楷體-繁" panose="02010600040101010101" pitchFamily="2" charset="-120"/>
                </a:endParaRPr>
              </a:p>
            </cx:rich>
          </cx:tx>
        </cx:title>
        <cx:majorGridlines/>
        <cx:tickLabels/>
        <cx:txPr>
          <a:bodyPr spcFirstLastPara="1" vertOverflow="ellipsis" horzOverflow="overflow" wrap="square" lIns="0" tIns="0" rIns="0" bIns="0" anchor="ctr" anchorCtr="1"/>
          <a:lstStyle/>
          <a:p>
            <a:pPr algn="ctr" rtl="0">
              <a:defRPr sz="1400" baseline="0"/>
            </a:pPr>
            <a:endParaRPr lang="zh-TW" altLang="en-US" sz="1400" b="0" i="0" u="none" strike="noStrike" baseline="0">
              <a:solidFill>
                <a:sysClr val="windowText" lastClr="000000">
                  <a:lumMod val="65000"/>
                  <a:lumOff val="35000"/>
                </a:sysClr>
              </a:solidFill>
              <a:latin typeface="Calibri" panose="020F0502020204030204"/>
              <a:ea typeface="新細明體" panose="02020500000000000000" pitchFamily="18" charset="-120"/>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5</xdr:col>
      <xdr:colOff>215900</xdr:colOff>
      <xdr:row>8</xdr:row>
      <xdr:rowOff>12700</xdr:rowOff>
    </xdr:from>
    <xdr:to>
      <xdr:col>31</xdr:col>
      <xdr:colOff>88900</xdr:colOff>
      <xdr:row>64</xdr:row>
      <xdr:rowOff>12700</xdr:rowOff>
    </xdr:to>
    <xdr:graphicFrame macro="">
      <xdr:nvGraphicFramePr>
        <xdr:cNvPr id="3" name="圖表 2">
          <a:extLst>
            <a:ext uri="{FF2B5EF4-FFF2-40B4-BE49-F238E27FC236}">
              <a16:creationId xmlns:a16="http://schemas.microsoft.com/office/drawing/2014/main" id="{CB369376-3D66-3E43-9469-9088601F4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190500</xdr:colOff>
      <xdr:row>22</xdr:row>
      <xdr:rowOff>165100</xdr:rowOff>
    </xdr:from>
    <xdr:to>
      <xdr:col>28</xdr:col>
      <xdr:colOff>304800</xdr:colOff>
      <xdr:row>30</xdr:row>
      <xdr:rowOff>25400</xdr:rowOff>
    </xdr:to>
    <xdr:sp macro="" textlink="">
      <xdr:nvSpPr>
        <xdr:cNvPr id="4" name="文字方塊 3">
          <a:extLst>
            <a:ext uri="{FF2B5EF4-FFF2-40B4-BE49-F238E27FC236}">
              <a16:creationId xmlns:a16="http://schemas.microsoft.com/office/drawing/2014/main" id="{7A5E088D-A8E3-3A49-9F91-E3DFBE092627}"/>
            </a:ext>
          </a:extLst>
        </xdr:cNvPr>
        <xdr:cNvSpPr txBox="1"/>
      </xdr:nvSpPr>
      <xdr:spPr>
        <a:xfrm>
          <a:off x="11087100" y="4356100"/>
          <a:ext cx="2400300" cy="1384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zh-TW" sz="1600">
              <a:ea typeface="楷體-繁" panose="02010600040101010101" pitchFamily="2" charset="-120"/>
            </a:rPr>
            <a:t>A7 </a:t>
          </a:r>
          <a:r>
            <a:rPr lang="zh-TW" altLang="en-US" sz="1600">
              <a:ea typeface="楷體-繁" panose="02010600040101010101" pitchFamily="2" charset="-120"/>
            </a:rPr>
            <a:t>重劃區新建案 </a:t>
          </a:r>
          <a:endParaRPr lang="en-US" altLang="zh-TW" sz="1600">
            <a:ea typeface="楷體-繁" panose="02010600040101010101" pitchFamily="2" charset="-120"/>
          </a:endParaRPr>
        </a:p>
        <a:p>
          <a:r>
            <a:rPr lang="zh-TW" altLang="en-US" sz="1600">
              <a:ea typeface="楷體-繁" panose="02010600040101010101" pitchFamily="2" charset="-120"/>
            </a:rPr>
            <a:t>    住宅 總戶數 </a:t>
          </a:r>
          <a:r>
            <a:rPr lang="en-US" altLang="zh-TW" sz="1600" baseline="0">
              <a:ea typeface="楷體-繁" panose="02010600040101010101" pitchFamily="2" charset="-120"/>
            </a:rPr>
            <a:t> 15,982</a:t>
          </a:r>
        </a:p>
        <a:p>
          <a:r>
            <a:rPr lang="en-US" altLang="zh-TW" sz="1600" baseline="0">
              <a:ea typeface="楷體-繁" panose="02010600040101010101" pitchFamily="2" charset="-120"/>
            </a:rPr>
            <a:t>    </a:t>
          </a:r>
          <a:r>
            <a:rPr lang="zh-TW" altLang="en-US" sz="1600" baseline="0">
              <a:ea typeface="楷體-繁" panose="02010600040101010101" pitchFamily="2" charset="-120"/>
            </a:rPr>
            <a:t>商店 總家數 </a:t>
          </a:r>
          <a:r>
            <a:rPr lang="en-US" altLang="zh-TW" sz="1600" baseline="0">
              <a:ea typeface="楷體-繁" panose="02010600040101010101" pitchFamily="2" charset="-120"/>
            </a:rPr>
            <a:t> 393</a:t>
          </a:r>
          <a:endParaRPr lang="zh-TW" altLang="en-US" sz="1600">
            <a:ea typeface="楷體-繁" panose="02010600040101010101" pitchFamily="2" charset="-12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679450</xdr:colOff>
      <xdr:row>1</xdr:row>
      <xdr:rowOff>12700</xdr:rowOff>
    </xdr:from>
    <xdr:to>
      <xdr:col>17</xdr:col>
      <xdr:colOff>0</xdr:colOff>
      <xdr:row>56</xdr:row>
      <xdr:rowOff>165100</xdr:rowOff>
    </xdr:to>
    <xdr:graphicFrame macro="">
      <xdr:nvGraphicFramePr>
        <xdr:cNvPr id="4" name="圖表 3">
          <a:extLst>
            <a:ext uri="{FF2B5EF4-FFF2-40B4-BE49-F238E27FC236}">
              <a16:creationId xmlns:a16="http://schemas.microsoft.com/office/drawing/2014/main" id="{605A26B1-DC51-1B46-AE86-028D6E5B12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84668</xdr:colOff>
      <xdr:row>10</xdr:row>
      <xdr:rowOff>148167</xdr:rowOff>
    </xdr:from>
    <xdr:to>
      <xdr:col>15</xdr:col>
      <xdr:colOff>560917</xdr:colOff>
      <xdr:row>63</xdr:row>
      <xdr:rowOff>63500</xdr:rowOff>
    </xdr:to>
    <xdr:graphicFrame macro="">
      <xdr:nvGraphicFramePr>
        <xdr:cNvPr id="3" name="圖表 2">
          <a:extLst>
            <a:ext uri="{FF2B5EF4-FFF2-40B4-BE49-F238E27FC236}">
              <a16:creationId xmlns:a16="http://schemas.microsoft.com/office/drawing/2014/main" id="{EEFC6AC1-89BC-7B45-A15F-B60F38B21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296333</xdr:colOff>
      <xdr:row>1</xdr:row>
      <xdr:rowOff>55033</xdr:rowOff>
    </xdr:from>
    <xdr:to>
      <xdr:col>13</xdr:col>
      <xdr:colOff>381000</xdr:colOff>
      <xdr:row>34</xdr:row>
      <xdr:rowOff>127000</xdr:rowOff>
    </xdr:to>
    <xdr:graphicFrame macro="">
      <xdr:nvGraphicFramePr>
        <xdr:cNvPr id="2" name="圖表 1">
          <a:extLst>
            <a:ext uri="{FF2B5EF4-FFF2-40B4-BE49-F238E27FC236}">
              <a16:creationId xmlns:a16="http://schemas.microsoft.com/office/drawing/2014/main" id="{FB659590-6577-0C42-AAB4-60833A6281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692150</xdr:colOff>
      <xdr:row>4</xdr:row>
      <xdr:rowOff>88900</xdr:rowOff>
    </xdr:from>
    <xdr:to>
      <xdr:col>16</xdr:col>
      <xdr:colOff>266700</xdr:colOff>
      <xdr:row>59</xdr:row>
      <xdr:rowOff>101600</xdr:rowOff>
    </xdr:to>
    <xdr:graphicFrame macro="">
      <xdr:nvGraphicFramePr>
        <xdr:cNvPr id="2" name="圖表 1">
          <a:extLst>
            <a:ext uri="{FF2B5EF4-FFF2-40B4-BE49-F238E27FC236}">
              <a16:creationId xmlns:a16="http://schemas.microsoft.com/office/drawing/2014/main" id="{86BFF230-F633-E04C-8FDB-E1CB14DE1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717550</xdr:colOff>
      <xdr:row>1</xdr:row>
      <xdr:rowOff>12700</xdr:rowOff>
    </xdr:from>
    <xdr:to>
      <xdr:col>17</xdr:col>
      <xdr:colOff>76200</xdr:colOff>
      <xdr:row>56</xdr:row>
      <xdr:rowOff>50800</xdr:rowOff>
    </xdr:to>
    <xdr:graphicFrame macro="">
      <xdr:nvGraphicFramePr>
        <xdr:cNvPr id="2" name="圖表 1">
          <a:extLst>
            <a:ext uri="{FF2B5EF4-FFF2-40B4-BE49-F238E27FC236}">
              <a16:creationId xmlns:a16="http://schemas.microsoft.com/office/drawing/2014/main" id="{EE2B5D50-98A5-9E40-97F5-62A366424F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533400</xdr:colOff>
      <xdr:row>22</xdr:row>
      <xdr:rowOff>76200</xdr:rowOff>
    </xdr:from>
    <xdr:to>
      <xdr:col>16</xdr:col>
      <xdr:colOff>533400</xdr:colOff>
      <xdr:row>40</xdr:row>
      <xdr:rowOff>50800</xdr:rowOff>
    </xdr:to>
    <mc:AlternateContent xmlns:mc="http://schemas.openxmlformats.org/markup-compatibility/2006">
      <mc:Choice xmlns:cx1="http://schemas.microsoft.com/office/drawing/2015/9/8/chartex" Requires="cx1">
        <xdr:graphicFrame macro="">
          <xdr:nvGraphicFramePr>
            <xdr:cNvPr id="2" name="圖表 1">
              <a:extLst>
                <a:ext uri="{FF2B5EF4-FFF2-40B4-BE49-F238E27FC236}">
                  <a16:creationId xmlns:a16="http://schemas.microsoft.com/office/drawing/2014/main" id="{4F775AA1-D659-1841-AD8F-7D3247F15F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80500" y="4267200"/>
              <a:ext cx="6604000" cy="3403600"/>
            </a:xfrm>
            <a:prstGeom prst="rect">
              <a:avLst/>
            </a:prstGeom>
            <a:solidFill>
              <a:prstClr val="white"/>
            </a:solidFill>
            <a:ln w="1">
              <a:solidFill>
                <a:prstClr val="green"/>
              </a:solidFill>
            </a:ln>
          </xdr:spPr>
          <xdr:txBody>
            <a:bodyPr vertOverflow="clip" horzOverflow="clip"/>
            <a:lstStyle/>
            <a:p>
              <a:r>
                <a:rPr lang="zh-TW" altLang="en-US" sz="1100"/>
                <a:t>此圖表在您的 Excel 版本中無法使用。
若編輯此圖案或將此活頁簿儲存為不同格式，將永久破壞圖表。</a:t>
              </a:r>
            </a:p>
          </xdr:txBody>
        </xdr:sp>
      </mc:Fallback>
    </mc:AlternateContent>
    <xdr:clientData/>
  </xdr:twoCellAnchor>
  <xdr:oneCellAnchor>
    <xdr:from>
      <xdr:col>10</xdr:col>
      <xdr:colOff>330200</xdr:colOff>
      <xdr:row>24</xdr:row>
      <xdr:rowOff>177800</xdr:rowOff>
    </xdr:from>
    <xdr:ext cx="3752694" cy="839204"/>
    <xdr:sp macro="" textlink="">
      <xdr:nvSpPr>
        <xdr:cNvPr id="3" name="文字方塊 2">
          <a:extLst>
            <a:ext uri="{FF2B5EF4-FFF2-40B4-BE49-F238E27FC236}">
              <a16:creationId xmlns:a16="http://schemas.microsoft.com/office/drawing/2014/main" id="{469AE0CC-E9C6-AA46-B3FF-4CF0D803900D}"/>
            </a:ext>
          </a:extLst>
        </xdr:cNvPr>
        <xdr:cNvSpPr txBox="1"/>
      </xdr:nvSpPr>
      <xdr:spPr>
        <a:xfrm>
          <a:off x="10528300" y="4749800"/>
          <a:ext cx="3752694" cy="8392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altLang="zh-TW" sz="1600" baseline="0">
              <a:ea typeface="楷體-繁" panose="02010600040101010101" pitchFamily="2" charset="-120"/>
            </a:rPr>
            <a:t>A7</a:t>
          </a:r>
          <a:r>
            <a:rPr lang="zh-TW" altLang="en-US" sz="1600" baseline="0">
              <a:ea typeface="楷體-繁" panose="02010600040101010101" pitchFamily="2" charset="-120"/>
            </a:rPr>
            <a:t> 重劃區 </a:t>
          </a:r>
          <a:r>
            <a:rPr lang="en-US" altLang="zh-TW" sz="1600" baseline="0">
              <a:ea typeface="楷體-繁" panose="02010600040101010101" pitchFamily="2" charset="-120"/>
            </a:rPr>
            <a:t>45</a:t>
          </a:r>
          <a:r>
            <a:rPr lang="zh-TW" altLang="en-US" sz="1600" baseline="0">
              <a:ea typeface="楷體-繁" panose="02010600040101010101" pitchFamily="2" charset="-120"/>
            </a:rPr>
            <a:t>個建案 車位</a:t>
          </a:r>
          <a:r>
            <a:rPr lang="en-US" altLang="zh-TW" sz="1600" baseline="0">
              <a:ea typeface="楷體-繁" panose="02010600040101010101" pitchFamily="2" charset="-120"/>
            </a:rPr>
            <a:t>/</a:t>
          </a:r>
          <a:r>
            <a:rPr lang="zh-TW" altLang="en-US" sz="1600" baseline="0">
              <a:ea typeface="楷體-繁" panose="02010600040101010101" pitchFamily="2" charset="-120"/>
            </a:rPr>
            <a:t>戶數</a:t>
          </a:r>
          <a:r>
            <a:rPr lang="en-US" altLang="zh-TW" sz="1600" baseline="0">
              <a:ea typeface="楷體-繁" panose="02010600040101010101" pitchFamily="2" charset="-120"/>
            </a:rPr>
            <a:t> </a:t>
          </a:r>
          <a:r>
            <a:rPr lang="zh-TW" altLang="en-US" sz="1600" baseline="0">
              <a:ea typeface="楷體-繁" panose="02010600040101010101" pitchFamily="2" charset="-120"/>
            </a:rPr>
            <a:t>比例分佈</a:t>
          </a:r>
          <a:endParaRPr lang="en-US" altLang="zh-TW" sz="1600" baseline="0">
            <a:ea typeface="楷體-繁" panose="02010600040101010101" pitchFamily="2" charset="-120"/>
          </a:endParaRPr>
        </a:p>
        <a:p>
          <a:r>
            <a:rPr lang="zh-TW" altLang="en-US" sz="1600" baseline="0">
              <a:ea typeface="楷體-繁" panose="02010600040101010101" pitchFamily="2" charset="-120"/>
            </a:rPr>
            <a:t>最大值</a:t>
          </a:r>
          <a:r>
            <a:rPr lang="en-US" altLang="zh-TW" sz="1600" baseline="0">
              <a:ea typeface="楷體-繁" panose="02010600040101010101" pitchFamily="2" charset="-120"/>
            </a:rPr>
            <a:t> 1:1.17, </a:t>
          </a:r>
          <a:r>
            <a:rPr lang="zh-TW" altLang="en-US" sz="1600" baseline="0">
              <a:ea typeface="楷體-繁" panose="02010600040101010101" pitchFamily="2" charset="-120"/>
            </a:rPr>
            <a:t>最小值 </a:t>
          </a:r>
          <a:r>
            <a:rPr lang="en-US" altLang="zh-TW" sz="1600" baseline="0">
              <a:ea typeface="楷體-繁" panose="02010600040101010101" pitchFamily="2" charset="-120"/>
            </a:rPr>
            <a:t>1:0.36, </a:t>
          </a:r>
          <a:r>
            <a:rPr lang="zh-TW" altLang="en-US" sz="1600" baseline="0">
              <a:ea typeface="楷體-繁" panose="02010600040101010101" pitchFamily="2" charset="-120"/>
            </a:rPr>
            <a:t>平均 </a:t>
          </a:r>
          <a:r>
            <a:rPr lang="en-US" altLang="zh-TW" sz="1600" baseline="0">
              <a:ea typeface="楷體-繁" panose="02010600040101010101" pitchFamily="2" charset="-120"/>
            </a:rPr>
            <a:t>1:0.97</a:t>
          </a:r>
          <a:endParaRPr lang="zh-TW" altLang="en-US" sz="1600" baseline="0">
            <a:ea typeface="楷體-繁" panose="02010600040101010101" pitchFamily="2" charset="-120"/>
          </a:endParaRPr>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5</xdr:col>
      <xdr:colOff>234950</xdr:colOff>
      <xdr:row>7</xdr:row>
      <xdr:rowOff>63500</xdr:rowOff>
    </xdr:from>
    <xdr:to>
      <xdr:col>12</xdr:col>
      <xdr:colOff>203200</xdr:colOff>
      <xdr:row>26</xdr:row>
      <xdr:rowOff>127000</xdr:rowOff>
    </xdr:to>
    <xdr:graphicFrame macro="">
      <xdr:nvGraphicFramePr>
        <xdr:cNvPr id="2" name="圖表 1">
          <a:extLst>
            <a:ext uri="{FF2B5EF4-FFF2-40B4-BE49-F238E27FC236}">
              <a16:creationId xmlns:a16="http://schemas.microsoft.com/office/drawing/2014/main" id="{765AD291-4D01-7448-BD2E-73E75BE898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730250</xdr:colOff>
      <xdr:row>5</xdr:row>
      <xdr:rowOff>177800</xdr:rowOff>
    </xdr:from>
    <xdr:to>
      <xdr:col>18</xdr:col>
      <xdr:colOff>812800</xdr:colOff>
      <xdr:row>34</xdr:row>
      <xdr:rowOff>177800</xdr:rowOff>
    </xdr:to>
    <xdr:graphicFrame macro="">
      <xdr:nvGraphicFramePr>
        <xdr:cNvPr id="2" name="圖表 1">
          <a:extLst>
            <a:ext uri="{FF2B5EF4-FFF2-40B4-BE49-F238E27FC236}">
              <a16:creationId xmlns:a16="http://schemas.microsoft.com/office/drawing/2014/main" id="{4D05D3A3-B12F-C047-89F4-479729DC95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1238250</xdr:colOff>
      <xdr:row>24</xdr:row>
      <xdr:rowOff>25400</xdr:rowOff>
    </xdr:from>
    <xdr:to>
      <xdr:col>8</xdr:col>
      <xdr:colOff>736600</xdr:colOff>
      <xdr:row>55</xdr:row>
      <xdr:rowOff>76200</xdr:rowOff>
    </xdr:to>
    <xdr:graphicFrame macro="">
      <xdr:nvGraphicFramePr>
        <xdr:cNvPr id="3" name="圖表 2">
          <a:extLst>
            <a:ext uri="{FF2B5EF4-FFF2-40B4-BE49-F238E27FC236}">
              <a16:creationId xmlns:a16="http://schemas.microsoft.com/office/drawing/2014/main" id="{FD712F41-D868-5647-9094-6A7F25AEC8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781050</xdr:colOff>
      <xdr:row>8</xdr:row>
      <xdr:rowOff>152400</xdr:rowOff>
    </xdr:from>
    <xdr:to>
      <xdr:col>11</xdr:col>
      <xdr:colOff>800100</xdr:colOff>
      <xdr:row>25</xdr:row>
      <xdr:rowOff>101600</xdr:rowOff>
    </xdr:to>
    <xdr:graphicFrame macro="">
      <xdr:nvGraphicFramePr>
        <xdr:cNvPr id="2" name="圖表 1">
          <a:extLst>
            <a:ext uri="{FF2B5EF4-FFF2-40B4-BE49-F238E27FC236}">
              <a16:creationId xmlns:a16="http://schemas.microsoft.com/office/drawing/2014/main" id="{8323AC28-62AE-1047-8385-1BB98360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32</xdr:row>
      <xdr:rowOff>0</xdr:rowOff>
    </xdr:from>
    <xdr:to>
      <xdr:col>12</xdr:col>
      <xdr:colOff>12700</xdr:colOff>
      <xdr:row>48</xdr:row>
      <xdr:rowOff>177800</xdr:rowOff>
    </xdr:to>
    <xdr:graphicFrame macro="">
      <xdr:nvGraphicFramePr>
        <xdr:cNvPr id="3" name="圖表 2">
          <a:extLst>
            <a:ext uri="{FF2B5EF4-FFF2-40B4-BE49-F238E27FC236}">
              <a16:creationId xmlns:a16="http://schemas.microsoft.com/office/drawing/2014/main" id="{22378F15-B93C-DA4C-889A-D69622D981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8</xdr:col>
      <xdr:colOff>177800</xdr:colOff>
      <xdr:row>22</xdr:row>
      <xdr:rowOff>88900</xdr:rowOff>
    </xdr:from>
    <xdr:to>
      <xdr:col>16</xdr:col>
      <xdr:colOff>50800</xdr:colOff>
      <xdr:row>42</xdr:row>
      <xdr:rowOff>165100</xdr:rowOff>
    </xdr:to>
    <xdr:graphicFrame macro="">
      <xdr:nvGraphicFramePr>
        <xdr:cNvPr id="2" name="圖表 1">
          <a:extLst>
            <a:ext uri="{FF2B5EF4-FFF2-40B4-BE49-F238E27FC236}">
              <a16:creationId xmlns:a16="http://schemas.microsoft.com/office/drawing/2014/main" id="{BF47C3FE-1D93-FA4B-90CE-EB786D8CB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400050</xdr:colOff>
      <xdr:row>6</xdr:row>
      <xdr:rowOff>12700</xdr:rowOff>
    </xdr:from>
    <xdr:to>
      <xdr:col>13</xdr:col>
      <xdr:colOff>736600</xdr:colOff>
      <xdr:row>32</xdr:row>
      <xdr:rowOff>88900</xdr:rowOff>
    </xdr:to>
    <xdr:graphicFrame macro="">
      <xdr:nvGraphicFramePr>
        <xdr:cNvPr id="2" name="圖表 1">
          <a:extLst>
            <a:ext uri="{FF2B5EF4-FFF2-40B4-BE49-F238E27FC236}">
              <a16:creationId xmlns:a16="http://schemas.microsoft.com/office/drawing/2014/main" id="{B5E8EDDB-83DF-8247-8F35-E3F76B8BFB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Chung Wang" refreshedDate="44472.289513310185" createdVersion="7" refreshedVersion="7" minRefreshableVersion="3" recordCount="49" xr:uid="{78A0FC35-D0DC-F040-ACE8-196B93C53EDE}">
  <cacheSource type="worksheet">
    <worksheetSource ref="A1:BE50" sheet="建案資料"/>
  </cacheSource>
  <cacheFields count="57">
    <cacheField name="no" numFmtId="49">
      <sharedItems/>
    </cacheField>
    <cacheField name="區域" numFmtId="49">
      <sharedItems/>
    </cacheField>
    <cacheField name="建案" numFmtId="0">
      <sharedItems count="49">
        <s v="和發大境"/>
        <s v="鴻典"/>
        <s v="樂捷市"/>
        <s v="奇幻莊園"/>
        <s v="樂田田"/>
        <s v="玉子園"/>
        <s v="台北國際村"/>
        <s v="富宇上城"/>
        <s v="禾悅花園"/>
        <s v="耀台北"/>
        <s v="皇普MVP"/>
        <s v="富宇敦峰"/>
        <s v="玄泰V1"/>
        <s v="和耀恆美"/>
        <s v="允將大作"/>
        <s v="欣時代"/>
        <s v="新潤翡麗"/>
        <s v="新潤鉑麗"/>
        <s v="根津苑"/>
        <s v="華悅城"/>
        <s v="富宇悅峰"/>
        <s v="合遠新天地"/>
        <s v="友文化"/>
        <s v="水悅青青"/>
        <s v="文華天際"/>
        <s v="竹城甲子園"/>
        <s v="金捷市"/>
        <s v="鴻築捷市達"/>
        <s v="詠勝市中欣"/>
        <s v="新A7"/>
        <s v="富御捷境"/>
        <s v="富宇哈佛苑"/>
        <s v="頤昌豐岳"/>
        <s v="新未來2"/>
        <s v="新未來3"/>
        <s v="和洲金剛"/>
        <s v="君邑丘比特"/>
        <s v="頤昌璞岳"/>
        <s v="合謙學"/>
        <s v="大亮時代A7"/>
        <s v="新未來1"/>
        <s v="富宇天匯"/>
        <s v="竹城明治"/>
        <s v="竹城宇治"/>
        <s v="櫻花澍"/>
        <s v="遠雄文青"/>
        <s v="皇翔歡喜城"/>
        <s v="名軒快樂家"/>
        <s v="麗寶快樂家"/>
      </sharedItems>
    </cacheField>
    <cacheField name="N建案" numFmtId="0">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0">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haredItems>
    </cacheField>
    <cacheField name="建設公司" numFmtId="0">
      <sharedItems count="19">
        <s v="寶佳集團"/>
        <s v="富宇建設"/>
        <s v="禾聯建築"/>
        <s v="玄泰建設"/>
        <s v="允將建設"/>
        <s v="欣巴巴"/>
        <s v="新潤建設"/>
        <s v="興富發建設"/>
        <s v="竹城建設"/>
        <s v="詠勝開發"/>
        <s v="頤昌建設"/>
        <s v="遠雄建設"/>
        <s v="君悅建設"/>
        <s v="合謙建設"/>
        <s v="大亮建築"/>
        <s v="櫻花建設"/>
        <s v="皇翔建設"/>
        <s v="名軒開發"/>
        <s v="麗寶建設"/>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 name="行政里" numFmtId="0">
      <sharedItems count="4">
        <s v="長庚里"/>
        <s v="樂善里"/>
        <s v="文化里"/>
        <s v="文青里"/>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i-Chung Wang" refreshedDate="44472.289513773147" createdVersion="7" refreshedVersion="7" minRefreshableVersion="3" recordCount="49" xr:uid="{B403CB59-CB11-6E4E-BA2E-0EB34E557D07}">
  <cacheSource type="worksheet">
    <worksheetSource ref="A1:BD50" sheet="建案資料"/>
  </cacheSource>
  <cacheFields count="56">
    <cacheField name="no" numFmtId="49">
      <sharedItems/>
    </cacheField>
    <cacheField name="區域" numFmtId="49">
      <sharedItems count="5">
        <s v="1.樂善國小生活圈"/>
        <s v="2.樂善園區周邊"/>
        <s v="3.華亞園區周邊"/>
        <s v="4.中心商業區及文青國中小生活圈"/>
        <s v="5.合宜住宅區"/>
      </sharedItems>
    </cacheField>
    <cacheField name="建案" numFmtId="0">
      <sharedItems/>
    </cacheField>
    <cacheField name="N建案" numFmtId="0">
      <sharedItems count="49">
        <s v="101 和發大境"/>
        <s v="102 鴻典"/>
        <s v="103 樂捷市"/>
        <s v="104 奇幻莊園"/>
        <s v="105 樂田田"/>
        <s v="106 玉子園"/>
        <s v="107 台北國際村"/>
        <s v="201 富宇上城"/>
        <s v="202 禾悅花園"/>
        <s v="203 耀台北"/>
        <s v="204 皇普MVP"/>
        <s v="205 富宇敦峰"/>
        <s v="206 玄泰V1"/>
        <s v="207 和耀恆美"/>
        <s v="301 允將大作"/>
        <s v="302 欣時代"/>
        <s v="303 新潤翡麗"/>
        <s v="304 新潤鉑麗"/>
        <s v="305 根津苑"/>
        <s v="306 華悅城"/>
        <s v="307 富宇悅峰"/>
        <s v="308 合遠新天地"/>
        <s v="309 友文化"/>
        <s v="310 水悅青青"/>
        <s v="311 文華天際"/>
        <s v="401 竹城甲子園"/>
        <s v="402 金捷市"/>
        <s v="403 鴻築捷市達"/>
        <s v="404 詠勝市中欣"/>
        <s v="405 新A7"/>
        <s v="406 富御捷境"/>
        <s v="407 富宇哈佛苑"/>
        <s v="408 頤昌豐岳"/>
        <s v="409 新未來2"/>
        <s v="410 新未來3"/>
        <s v="411 和洲金剛"/>
        <s v="412 君邑丘比特"/>
        <s v="413 頤昌璞岳"/>
        <s v="414 合謙學"/>
        <s v="415 大亮時代A7"/>
        <s v="501 新未來1"/>
        <s v="502 富宇天匯"/>
        <s v="503 竹城明治"/>
        <s v="504 竹城宇治"/>
        <s v="505 櫻花澍"/>
        <s v="506 遠雄文青"/>
        <s v="507 皇翔歡喜城"/>
        <s v="508 名軒快樂家"/>
        <s v="509 麗寶快樂家"/>
      </sharedItems>
    </cacheField>
    <cacheField name="Figure" numFmtId="0">
      <sharedItems/>
    </cacheField>
    <cacheField name="Link" numFmtId="0">
      <sharedItems containsBlank="1"/>
    </cacheField>
    <cacheField name="單價" numFmtId="0">
      <sharedItems/>
    </cacheField>
    <cacheField name="每坪價-最低" numFmtId="177">
      <sharedItems containsSemiMixedTypes="0" containsString="0" containsNumber="1" minValue="15" maxValue="39" count="16">
        <n v="28"/>
        <n v="26"/>
        <n v="24.5"/>
        <n v="25"/>
        <n v="30"/>
        <n v="27"/>
        <n v="35"/>
        <n v="24"/>
        <n v="29"/>
        <n v="30.5"/>
        <n v="31"/>
        <n v="33"/>
        <n v="27.8"/>
        <n v="32"/>
        <n v="39"/>
        <n v="15"/>
      </sharedItems>
    </cacheField>
    <cacheField name="每坪價-最高" numFmtId="177">
      <sharedItems containsSemiMixedTypes="0" containsString="0" containsNumber="1" minValue="15" maxValue="43"/>
    </cacheField>
    <cacheField name="每坪價-平均" numFmtId="177">
      <sharedItems containsSemiMixedTypes="0" containsString="0" containsNumber="1" minValue="15" maxValue="41" count="19">
        <n v="28.5"/>
        <n v="26"/>
        <n v="25"/>
        <n v="25.5"/>
        <n v="27"/>
        <n v="32.5"/>
        <n v="31"/>
        <n v="28"/>
        <n v="30.5"/>
        <n v="36.5"/>
        <n v="30"/>
        <n v="29.5"/>
        <n v="32"/>
        <n v="35.5"/>
        <n v="29.9"/>
        <n v="33.5"/>
        <n v="41"/>
        <n v="29"/>
        <n v="15"/>
      </sharedItems>
    </cacheField>
    <cacheField name="FacebookName" numFmtId="0">
      <sharedItems containsBlank="1"/>
    </cacheField>
    <cacheField name="FacebookLink" numFmtId="0">
      <sharedItems containsBlank="1"/>
    </cacheField>
    <cacheField name="LineID" numFmtId="0">
      <sharedItems containsNonDate="0" containsString="0" containsBlank="1"/>
    </cacheField>
    <cacheField name="車位價格" numFmtId="0">
      <sharedItems containsBlank="1"/>
    </cacheField>
    <cacheField name="車位價格-最低" numFmtId="176">
      <sharedItems containsString="0" containsBlank="1" containsNumber="1" containsInteger="1" minValue="115" maxValue="195"/>
    </cacheField>
    <cacheField name="車位價格-最高" numFmtId="176">
      <sharedItems containsString="0" containsBlank="1" containsNumber="1" containsInteger="1" minValue="169" maxValue="230"/>
    </cacheField>
    <cacheField name="貸款成數" numFmtId="0">
      <sharedItems containsMixedTypes="1" containsNumber="1" minValue="0.75" maxValue="0.8"/>
    </cacheField>
    <cacheField name="公開銷售" numFmtId="0">
      <sharedItems/>
    </cacheField>
    <cacheField name="交屋時間" numFmtId="0">
      <sharedItems/>
    </cacheField>
    <cacheField name="交屋時程" numFmtId="0">
      <sharedItems containsBlank="1" count="13">
        <s v="2022Q4"/>
        <s v="2022Q1"/>
        <s v="2021Q2"/>
        <s v="2021Q3"/>
        <s v="2021Q4"/>
        <s v="2023Q1"/>
        <s v="2024Q2"/>
        <s v="2022Q2"/>
        <s v="2028Q2"/>
        <s v="2023Q4"/>
        <m/>
        <s v="2022Q3"/>
        <s v="2023Q2"/>
      </sharedItems>
    </cacheField>
    <cacheField name="交屋屋況" numFmtId="0">
      <sharedItems/>
    </cacheField>
    <cacheField name="格局規劃" numFmtId="0">
      <sharedItems containsBlank="1"/>
    </cacheField>
    <cacheField name="Category" numFmtId="0">
      <sharedItems/>
    </cacheField>
    <cacheField name="Category1" numFmtId="0">
      <sharedItems/>
    </cacheField>
    <cacheField name="建物形態" numFmtId="0">
      <sharedItems/>
    </cacheField>
    <cacheField name="基地地址" numFmtId="0">
      <sharedItems/>
    </cacheField>
    <cacheField name="接待會館" numFmtId="0">
      <sharedItems containsBlank="1"/>
    </cacheField>
    <cacheField name="投資建設F" numFmtId="0">
      <sharedItems containsBlank="1"/>
    </cacheField>
    <cacheField name="投資建設" numFmtId="0">
      <sharedItems count="32">
        <s v="和發建設"/>
        <s v="鴻築建設"/>
        <s v="佳晟建設"/>
        <s v="協勝建設"/>
        <s v="富宇建設"/>
        <s v="禾聯建築"/>
        <s v="和耀建設"/>
        <s v="皇普建設"/>
        <s v="允泰開發"/>
        <s v="允將建設"/>
        <s v="欣巴巴"/>
        <s v="新潤建設"/>
        <s v="新潤興業"/>
        <s v="鴻承建設"/>
        <s v="興富發建設"/>
        <s v="合遠建設"/>
        <s v="竹城建設"/>
        <s v="詠勝開發"/>
        <s v="鴻廣建設"/>
        <s v="和峻建設"/>
        <s v="頤昌建設"/>
        <s v="遠雄建設"/>
        <s v="和洲建設"/>
        <s v="君悅建設"/>
        <s v="合謙建設"/>
        <s v="大亮建築"/>
        <s v="櫻花建設"/>
        <s v="皇翔建設"/>
        <s v="名軒開發"/>
        <s v="麗寶建設"/>
        <s v="竹城機構" u="1"/>
        <s v="禾聯公司" u="1"/>
      </sharedItems>
    </cacheField>
    <cacheField name="建設公司" numFmtId="0">
      <sharedItems/>
    </cacheField>
    <cacheField name="營造公司" numFmtId="0">
      <sharedItems containsBlank="1"/>
    </cacheField>
    <cacheField name="企劃銷售" numFmtId="0">
      <sharedItems containsBlank="1"/>
    </cacheField>
    <cacheField name="建案特色" numFmtId="0">
      <sharedItems containsBlank="1"/>
    </cacheField>
    <cacheField name="公設比" numFmtId="0">
      <sharedItems containsBlank="1" containsMixedTypes="1" containsNumber="1" minValue="0.315" maxValue="0.34"/>
    </cacheField>
    <cacheField name="公設比例" numFmtId="10">
      <sharedItems containsString="0" containsBlank="1" containsNumber="1" minValue="0.315" maxValue="0.36799999999999999"/>
    </cacheField>
    <cacheField name="棟戶規劃" numFmtId="0">
      <sharedItems containsBlank="1"/>
    </cacheField>
    <cacheField name="住家戶數" numFmtId="0">
      <sharedItems containsSemiMixedTypes="0" containsString="0" containsNumber="1" containsInteger="1" minValue="87" maxValue="1780" count="45">
        <n v="280"/>
        <n v="196"/>
        <n v="326"/>
        <n v="173"/>
        <n v="187"/>
        <n v="186"/>
        <n v="198"/>
        <n v="832"/>
        <n v="1044"/>
        <n v="199"/>
        <n v="308"/>
        <n v="441"/>
        <n v="138"/>
        <n v="530"/>
        <n v="235"/>
        <n v="420"/>
        <n v="266"/>
        <n v="225"/>
        <n v="776"/>
        <n v="264"/>
        <n v="112"/>
        <n v="305"/>
        <n v="204"/>
        <n v="478"/>
        <n v="1144"/>
        <n v="754"/>
        <n v="771"/>
        <n v="257"/>
        <n v="371"/>
        <n v="337"/>
        <n v="483"/>
        <n v="154"/>
        <n v="376"/>
        <n v="582"/>
        <n v="210"/>
        <n v="124"/>
        <n v="106"/>
        <n v="87"/>
        <n v="807"/>
        <n v="168"/>
        <n v="103"/>
        <n v="1272"/>
        <n v="1780"/>
        <n v="514"/>
        <n v="897"/>
      </sharedItems>
    </cacheField>
    <cacheField name="商店戶數" numFmtId="0">
      <sharedItems containsString="0" containsBlank="1" containsNumber="1" containsInteger="1" minValue="0" maxValue="31"/>
    </cacheField>
    <cacheField name="建蔽率" numFmtId="0">
      <sharedItems containsBlank="1" containsMixedTypes="1" containsNumber="1" minValue="0.3347" maxValue="0.59850000000000003"/>
    </cacheField>
    <cacheField name="建蔽比率" numFmtId="10">
      <sharedItems containsString="0" containsBlank="1" containsNumber="1" minValue="0.31069999999999998" maxValue="0.6502"/>
    </cacheField>
    <cacheField name="樓層規劃" numFmtId="0">
      <sharedItems containsBlank="1"/>
    </cacheField>
    <cacheField name="樓層數" numFmtId="0">
      <sharedItems containsString="0" containsBlank="1" containsNumber="1" containsInteger="1" minValue="13" maxValue="31" count="11">
        <n v="15"/>
        <n v="14"/>
        <n v="24"/>
        <n v="31"/>
        <n v="30"/>
        <n v="18"/>
        <n v="22"/>
        <n v="28"/>
        <n v="29"/>
        <n v="13"/>
        <m/>
      </sharedItems>
    </cacheField>
    <cacheField name="車位規劃" numFmtId="0">
      <sharedItems containsBlank="1"/>
    </cacheField>
    <cacheField name="管理費用" numFmtId="0">
      <sharedItems containsBlank="1"/>
    </cacheField>
    <cacheField name="車位配比" numFmtId="49">
      <sharedItems containsBlank="1"/>
    </cacheField>
    <cacheField name="車位分配率" numFmtId="178">
      <sharedItems containsString="0" containsBlank="1" containsNumber="1" minValue="0.36" maxValue="1.17" count="25">
        <n v="1.0900000000000001"/>
        <n v="1.03"/>
        <n v="1"/>
        <n v="0.98"/>
        <n v="0.87"/>
        <n v="0.99"/>
        <n v="1.1200000000000001"/>
        <n v="1.02"/>
        <n v="1.01"/>
        <n v="1.04"/>
        <n v="1.05"/>
        <n v="0.91"/>
        <n v="0.73"/>
        <n v="0.9"/>
        <n v="0.86"/>
        <n v="0.88"/>
        <n v="1.06"/>
        <n v="0.97"/>
        <n v="1.17"/>
        <n v="1.1399999999999999"/>
        <n v="1.07"/>
        <n v="0.36"/>
        <n v="0.89"/>
        <n v="0.75"/>
        <m/>
      </sharedItems>
    </cacheField>
    <cacheField name="結構工程" numFmtId="0">
      <sharedItems/>
    </cacheField>
    <cacheField name="基地面積" numFmtId="0">
      <sharedItems containsBlank="1"/>
    </cacheField>
    <cacheField name="建築面積" numFmtId="0">
      <sharedItems containsString="0" containsBlank="1" containsNumber="1" minValue="332.5" maxValue="4720.8900000000003" count="43">
        <n v="1586.57"/>
        <n v="1062.93"/>
        <n v="1848.44"/>
        <n v="954.46"/>
        <n v="907.61"/>
        <n v="1042.98"/>
        <n v="1054.47"/>
        <n v="4046.9"/>
        <n v="4720.8900000000003"/>
        <n v="909.91"/>
        <n v="1390.39"/>
        <n v="2727.34"/>
        <n v="911.52"/>
        <n v="1309.1400000000001"/>
        <n v="1554.48"/>
        <n v="713.17"/>
        <n v="1083.97"/>
        <n v="1137.47"/>
        <n v="2751.33"/>
        <n v="1266.01"/>
        <n v="642.91999999999996"/>
        <n v="1426.7"/>
        <n v="910.52"/>
        <n v="1998.07"/>
        <n v="4352.46"/>
        <n v="2090.31"/>
        <n v="2067.2399999999998"/>
        <n v="926.66"/>
        <n v="1538.68"/>
        <n v="1359.03"/>
        <n v="2155.85"/>
        <n v="933.78"/>
        <n v="1955.56"/>
        <n v="2513.2199999999998"/>
        <n v="1030.74"/>
        <n v="595.29"/>
        <n v="332.5"/>
        <n v="2890"/>
        <n v="1471.38"/>
        <n v="961.25"/>
        <n v="638.13"/>
        <n v="602.07000000000005"/>
        <m/>
      </sharedItems>
    </cacheField>
    <cacheField name="用途規劃" numFmtId="0">
      <sharedItems/>
    </cacheField>
    <cacheField name="土地分區" numFmtId="0">
      <sharedItems count="5">
        <s v="第四種住宅區"/>
        <s v="產業專用區"/>
        <s v="第五種住宅區"/>
        <s v="中心商業區"/>
        <s v="第三種住宅區"/>
      </sharedItems>
    </cacheField>
    <cacheField name="物業公司" numFmtId="0">
      <sharedItems containsBlank="1"/>
    </cacheField>
    <cacheField name="管委會" numFmtId="0">
      <sharedItems containsBlank="1"/>
    </cacheField>
    <cacheField name="建造執照" numFmtId="0">
      <sharedItems containsBlank="1"/>
    </cacheField>
    <cacheField name="建築設計" numFmtId="0">
      <sharedItems containsBlank="1"/>
    </cacheField>
    <cacheField name="使用執照"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s v="1.樂善國小生活圈"/>
    <x v="0"/>
    <s v="101 和發大境"/>
    <s v="fig/AiCity-939-和發大境.jpg"/>
    <s v="https://newhouse.591.com.tw/home/housing/detail?hid=125726"/>
    <s v="28~29 萬/坪"/>
    <n v="28"/>
    <n v="29"/>
    <x v="0"/>
    <m/>
    <m/>
    <m/>
    <s v="170~205萬"/>
    <n v="170"/>
    <n v="205"/>
    <n v="0.8"/>
    <s v="銷售中"/>
    <s v="2022年下半年"/>
    <s v="2022Q4"/>
    <s v="標準配備"/>
    <s v="二房(26~28坪) 、三房(39~40坪) 、四房(44坪) 、2+1房(33坪)"/>
    <s v="預售屋"/>
    <s v="A7XLK"/>
    <s v="住宅大樓 住商用"/>
    <s v="桃園市龜山區長慶三街"/>
    <s v="桃園市龜山區文化一路123號 "/>
    <s v="和發建設股份有限公司"/>
    <x v="0"/>
    <x v="0"/>
    <s v="國城營造有限公司"/>
    <s v="五十甲廣告股份有限公司"/>
    <s v="近捷運、景觀宅、制震宅、近公園、重劃區、低首付"/>
    <n v="0.33"/>
    <n v="0.33"/>
    <s v="3幢，8棟，280戶住家，12戶店面"/>
    <n v="280"/>
    <n v="12"/>
    <n v="0.40899999999999997"/>
    <n v="0.40899999999999997"/>
    <s v="地上15層，地下4層"/>
    <n v="15"/>
    <s v="平面式318個"/>
    <s v="待定"/>
    <s v="1:1.09"/>
    <n v="1.0900000000000001"/>
    <s v="RC"/>
    <s v="1586.57坪"/>
    <n v="1586.57"/>
    <s v="住商用"/>
    <x v="0"/>
    <s v="暫無"/>
    <s v="暫無"/>
    <s v="108桃市都建執照字第00546-01號"/>
    <s v="拓璞聯合建築師事務所(聶玉璞)"/>
    <s v="暫無"/>
    <x v="0"/>
  </r>
  <r>
    <s v="102"/>
    <s v="1.樂善國小生活圈"/>
    <x v="1"/>
    <s v="102 鴻典"/>
    <s v="fig/AiCity-939-鴻典.jpg"/>
    <s v="https://newhouse.591.com.tw/home/housing/detail?hid=122584&amp;v=720"/>
    <s v="26萬元/坪"/>
    <n v="26"/>
    <n v="26"/>
    <x v="1"/>
    <m/>
    <m/>
    <m/>
    <s v="180~210萬"/>
    <n v="180"/>
    <n v="210"/>
    <s v="80%"/>
    <s v="銷售中"/>
    <s v="2022年第一季"/>
    <s v="2022Q1"/>
    <s v="標準配備"/>
    <s v="二房(24-28坪)、三房(33-38坪)、4房(42坪)"/>
    <s v="預售屋"/>
    <s v="A7XLK"/>
    <s v="住宅大樓 住商用"/>
    <s v="桃園市龜山區長慶三街"/>
    <s v="桃園市龜山區長慶三街"/>
    <s v="鴻築建設股份有限公司"/>
    <x v="1"/>
    <x v="0"/>
    <s v="國城營造有限公司"/>
    <s v="商雋實業有限公司"/>
    <s v="景觀宅、制震宅、近公園、重劃區、低首付"/>
    <s v="32%"/>
    <n v="0.32"/>
    <s v="1幢，2棟，196戶住家，11戶店面"/>
    <n v="196"/>
    <n v="11"/>
    <s v="39.8%"/>
    <n v="0.39800000000000002"/>
    <s v="地上15層，地下3層"/>
    <n v="15"/>
    <s v="平面式214個"/>
    <s v="60元/坪/月"/>
    <s v="1:1.03"/>
    <n v="1.03"/>
    <s v="RC"/>
    <s v="1062.93坪"/>
    <n v="1062.93"/>
    <s v="住商用"/>
    <x v="0"/>
    <s v="暫無"/>
    <s v="暫無"/>
    <s v="107桃市都建執照字第01412-01號等1個"/>
    <s v="拓璞聯合建築師事務所"/>
    <s v="暫無"/>
    <x v="1"/>
  </r>
  <r>
    <s v="103"/>
    <s v="1.樂善國小生活圈"/>
    <x v="2"/>
    <s v="103 樂捷市"/>
    <s v="fig/AiCity-939-樂捷市.jpeg"/>
    <s v="https://newhouse.591.com.tw/home/housing/detail?hid=116751&amp;v=720"/>
    <s v="26萬元/坪"/>
    <n v="26"/>
    <n v="26"/>
    <x v="1"/>
    <s v="樂捷市好鄰居"/>
    <s v="https://www.facebook.com/groups/324107612343329"/>
    <m/>
    <s v="150~195萬"/>
    <n v="150"/>
    <n v="195"/>
    <s v="85%"/>
    <s v="銷售中"/>
    <s v="隨時交屋"/>
    <s v="2021Q2"/>
    <s v="標準配備"/>
    <s v="二房(26坪)、三房(38坪)、1+1房(25坪)、3+1房(44坪)"/>
    <s v="新成屋"/>
    <s v="A7XLK"/>
    <s v="住宅大樓/住商用"/>
    <s v="桃園市龜山區長慶三街18號"/>
    <s v="桃園市龜山區長慶三街18號1樓"/>
    <s v="鴻築建設股份有限公司"/>
    <x v="1"/>
    <x v="0"/>
    <s v="國城營造有限公司"/>
    <s v="商雋實業有限公司"/>
    <s v="近捷運、明星學區、制震宅、近公園、重劃區"/>
    <s v="31.5%"/>
    <n v="0.315"/>
    <s v="1幢，8棟，326戶住家，20戶店面"/>
    <n v="326"/>
    <n v="20"/>
    <s v="49.56%"/>
    <n v="0.49559999999999998"/>
    <s v="地上15層，地下3層"/>
    <n v="15"/>
    <s v="平面式285個、機械式61個"/>
    <s v="待定"/>
    <s v="1:1"/>
    <n v="1"/>
    <s v="RC"/>
    <s v="1848.44坪"/>
    <n v="1848.44"/>
    <s v="住商用"/>
    <x v="0"/>
    <s v="暫無"/>
    <s v="暫無"/>
    <s v="（106)桃市都建執照字第00372號等1個"/>
    <s v="聶玉璞"/>
    <s v="暫無"/>
    <x v="0"/>
  </r>
  <r>
    <s v="104"/>
    <s v="1.樂善國小生活圈"/>
    <x v="3"/>
    <s v="104 奇幻莊園"/>
    <s v="fig/AiCity-939-奇幻莊園.jpg"/>
    <s v="https://newhouse.591.com.tw/home/housing/detail?hid=116476&amp;v=720"/>
    <s v="24.5~25.5萬元/坪"/>
    <n v="24.5"/>
    <n v="25.5"/>
    <x v="2"/>
    <s v="龜山A7-奇幻莊園住戶"/>
    <s v="https://www.facebook.com/groups/588376114975687"/>
    <m/>
    <s v="160~220萬"/>
    <n v="160"/>
    <n v="220"/>
    <s v="80%"/>
    <s v="銷售中"/>
    <s v="隨時交屋"/>
    <s v="2021Q2"/>
    <s v="標準配備"/>
    <s v="二房(25~27坪)、三房(34-38坪)"/>
    <s v="新成屋"/>
    <s v="A7XLK"/>
    <s v="住宅大樓 住商用"/>
    <s v="桃園市龜山區長慶二街"/>
    <s v="桃園市龜山區長慶二街"/>
    <s v="佳晟建設股份有限公司"/>
    <x v="2"/>
    <x v="0"/>
    <s v="萬代營造有限公司"/>
    <s v="商雋實業有限公司"/>
    <s v="近捷運、近公園、重劃區"/>
    <s v="32%"/>
    <n v="0.32"/>
    <s v="1幢，3棟，173戶住家，11戶店面"/>
    <n v="173"/>
    <n v="11"/>
    <s v="48.26%"/>
    <n v="0.48259999999999997"/>
    <s v="地上13,14層，地下4層"/>
    <n v="14"/>
    <s v="平面式181個、機械式61個"/>
    <s v="55元/坪/月"/>
    <s v="1:0.98"/>
    <n v="0.98"/>
    <s v="RC"/>
    <s v="954.46坪"/>
    <n v="954.46"/>
    <s v="住商用"/>
    <x v="0"/>
    <s v="暫無"/>
    <s v="暫無"/>
    <s v="106桃市都建執照字第01160-01號"/>
    <s v="林大俊建築師事務所"/>
    <s v="暫無"/>
    <x v="0"/>
  </r>
  <r>
    <s v="105"/>
    <s v="1.樂善國小生活圈"/>
    <x v="4"/>
    <s v="105 樂田田"/>
    <s v="fig/AiCity-939-樂甜甜.jpg"/>
    <s v="https://newhouse.591.com.tw/home/housing/detail?hid=121200&amp;v=720"/>
    <s v="25~26 萬/坪"/>
    <n v="25"/>
    <n v="26"/>
    <x v="3"/>
    <m/>
    <m/>
    <m/>
    <s v="190~230萬"/>
    <n v="190"/>
    <n v="230"/>
    <n v="0.8"/>
    <s v="銷售中"/>
    <s v="2021年第三季度"/>
    <s v="2021Q3"/>
    <s v="標準配備"/>
    <s v="二房(23坪) 、2+1房(29坪)"/>
    <s v="預售屋"/>
    <s v="A7XLK"/>
    <s v="住宅大樓 住商用"/>
    <s v="桃園市龜山區長慶二街與長慶三街 "/>
    <s v="桃園市龜山區文化一路旁 "/>
    <s v="佳晟建設股份有限公司"/>
    <x v="2"/>
    <x v="0"/>
    <s v="萬代福營造有限公司"/>
    <s v="群旺廣告有限公司"/>
    <s v="景觀宅、重劃區"/>
    <n v="0.32600000000000001"/>
    <n v="0.32600000000000001"/>
    <s v="2幢，4棟，187戶住家，12戶店面"/>
    <n v="187"/>
    <n v="12"/>
    <n v="0.44269999999999998"/>
    <n v="0.44269999999999998"/>
    <s v="地上13、14層，地下4層"/>
    <n v="14"/>
    <s v="平面式173個"/>
    <s v="55元/坪/月"/>
    <s v="1:0.87"/>
    <n v="0.87"/>
    <s v="RC"/>
    <s v="907.61坪"/>
    <n v="907.61"/>
    <s v="住商用"/>
    <x v="0"/>
    <s v="暫無"/>
    <s v="暫無"/>
    <s v="108桃市都建執照字第00290-01號"/>
    <s v="林大俊建築師事務所"/>
    <s v="暫無"/>
    <x v="0"/>
  </r>
  <r>
    <s v="106"/>
    <s v="1.樂善國小生活圈"/>
    <x v="5"/>
    <s v="106 玉子園"/>
    <s v="fig/AiCity-939-玉子園.jpg"/>
    <s v="https://newhouse.591.com.tw/home/housing/detail?hid=119531&amp;v=720"/>
    <s v="26~28萬元/坪"/>
    <n v="26"/>
    <n v="28"/>
    <x v="4"/>
    <m/>
    <m/>
    <m/>
    <s v="130~205萬"/>
    <n v="130"/>
    <n v="205"/>
    <s v="80%"/>
    <s v="銷售中"/>
    <s v="2021年第四季"/>
    <s v="2021Q4"/>
    <s v="標準配備"/>
    <s v="二房(24~27坪)、三房(36~43坪)"/>
    <s v="預售屋"/>
    <s v="A7XLK"/>
    <s v="住宅大樓 住商用"/>
    <s v="桃園市龜山區樂捷段地號136, 140"/>
    <s v="桃園市龜山區文化一路與華亞三路交口"/>
    <s v="協勝建設股份有限公司"/>
    <x v="3"/>
    <x v="0"/>
    <s v="洛城營造有限公司"/>
    <s v="漢乙廣告有限公司"/>
    <s v="明星學區、景觀宅、低首付"/>
    <s v="31~32%"/>
    <n v="0.315"/>
    <s v="5棟，186戶住家，7戶店面"/>
    <n v="186"/>
    <n v="7"/>
    <s v="44.23%"/>
    <n v="0.44230000000000003"/>
    <s v="地上15層，地下3層"/>
    <n v="15"/>
    <s v="平面式178個、機械式14個"/>
    <s v="待定"/>
    <s v="1:0.99"/>
    <n v="0.99"/>
    <s v="RC"/>
    <s v="1042.98坪"/>
    <n v="1042.98"/>
    <s v="住商用"/>
    <x v="0"/>
    <s v="暫無"/>
    <s v="暫無"/>
    <s v="(106)桃市都建執照字第會龜00880-01號等1個"/>
    <s v="拓璞聯合建築師事務所"/>
    <s v="暫無"/>
    <x v="0"/>
  </r>
  <r>
    <s v="107"/>
    <s v="1.樂善國小生活圈"/>
    <x v="6"/>
    <s v="107 台北國際村"/>
    <s v="fig/AiCity-939-台北國際村.jpg"/>
    <s v="https://newhouse.591.com.tw/home/housing/detail?hid=118714&amp;v=720"/>
    <s v="25~26萬元/坪"/>
    <n v="25"/>
    <n v="26"/>
    <x v="3"/>
    <s v="台北國際村住戶交流園區_林口A7"/>
    <s v="https://www.facebook.com/groups/2397202740545114"/>
    <m/>
    <s v="160~195萬"/>
    <n v="160"/>
    <n v="195"/>
    <s v="80%"/>
    <s v="銷售中"/>
    <s v="2021年第一季"/>
    <s v="2021Q2"/>
    <s v="標準配備"/>
    <s v="二房(26~28坪)、三房(33~38坪)"/>
    <s v="預售屋"/>
    <s v="A7XLK"/>
    <s v="住宅大樓 住商用"/>
    <s v="桃園市龜山區樂安街71號"/>
    <s v="桃園市龜山區文化一路，文樂路交叉口"/>
    <s v="和發建設股份有限公司"/>
    <x v="0"/>
    <x v="0"/>
    <s v="國城營造有限公司"/>
    <s v="五十甲廣告股份有限公司"/>
    <s v="近捷運、明星學區、制震宅、近公園、重劃區"/>
    <s v="31~32%"/>
    <n v="0.315"/>
    <s v="4棟，198戶住家，8戶店面"/>
    <n v="198"/>
    <n v="8"/>
    <s v="45.67%"/>
    <n v="0.45669999999999999"/>
    <s v="地上15層，地下4層"/>
    <n v="15"/>
    <s v="平面式206個"/>
    <s v="待定"/>
    <s v="1:1"/>
    <n v="1"/>
    <s v="RC"/>
    <s v="1054.47坪"/>
    <n v="1054.47"/>
    <s v="住商用"/>
    <x v="0"/>
    <s v="暫無"/>
    <s v="暫無"/>
    <s v="(107)桃市都建執照字第會龜01092-01號等1個"/>
    <s v="拓璞聯合建築師事務所"/>
    <s v="暫無"/>
    <x v="0"/>
  </r>
  <r>
    <s v="201"/>
    <s v="2.樂善園區周邊"/>
    <x v="7"/>
    <s v="201 富宇上城"/>
    <s v="fig/AiCity-939-富宇上城.jpg"/>
    <s v="https://newhouse.591.com.tw/home/housing/detail?hid=121156&amp;v=720"/>
    <s v="30~35萬元/坪"/>
    <n v="30"/>
    <n v="35"/>
    <x v="5"/>
    <m/>
    <m/>
    <m/>
    <s v="170~205萬"/>
    <n v="170"/>
    <n v="205"/>
    <s v="80%"/>
    <s v="銷售中"/>
    <s v="2023年第一季"/>
    <s v="2023Q1"/>
    <s v="標準配備"/>
    <s v="二房(24坪) 、三房(31~39坪) 、四房(45坪) 、2+1房(28坪) 、3+1房(41坪)"/>
    <s v="預售屋"/>
    <s v="A7XLK"/>
    <s v="住宅大樓 住商用"/>
    <s v="桃園市龜山區樂捷段56地號"/>
    <s v="桃園縣龜山鄉文化一路"/>
    <s v="富宇建設股份有限公司"/>
    <x v="4"/>
    <x v="1"/>
    <s v="盛傑營造有限公司"/>
    <s v="華昱廣告有限公司"/>
    <s v="華昱廣告"/>
    <s v="33.5%"/>
    <n v="0.33500000000000002"/>
    <s v="4幢，6棟，832戶住家"/>
    <n v="832"/>
    <n v="0"/>
    <s v="31.07%"/>
    <n v="0.31069999999999998"/>
    <s v="地上24層，地下4層"/>
    <n v="24"/>
    <s v="平面式933個"/>
    <s v="75元/坪/月"/>
    <s v="1:1.12"/>
    <n v="1.1200000000000001"/>
    <s v="RC"/>
    <s v="4046.9坪"/>
    <n v="4046.9"/>
    <s v="住商用"/>
    <x v="1"/>
    <s v="暫無"/>
    <s v="暫無"/>
    <s v="(107)桃市都建執照字第會龜00519-01號等1個"/>
    <s v="吳六合建築師事務所"/>
    <s v="暫無"/>
    <x v="1"/>
  </r>
  <r>
    <s v="202"/>
    <s v="2.樂善園區周邊"/>
    <x v="8"/>
    <s v="202 禾悅花園"/>
    <s v="fig/AiCity-939-禾悅花園.jpg"/>
    <s v="https://newhouse.591.com.tw/home/housing/detail?hid=122734&amp;v=720"/>
    <s v="28~29萬元/坪"/>
    <n v="28"/>
    <n v="29"/>
    <x v="0"/>
    <m/>
    <m/>
    <m/>
    <s v="130~200萬"/>
    <n v="130"/>
    <n v="200"/>
    <s v="80%"/>
    <s v="銷售中"/>
    <s v="2024年第二季"/>
    <s v="2024Q2"/>
    <s v="標準配備"/>
    <s v="二房(22~23坪) 、三房(30~37坪) 、四房(46~47坪)"/>
    <s v="預售屋"/>
    <s v="A7XLK"/>
    <s v="住宅大樓 住商用"/>
    <s v="桃園市龜山區文禾路、文達路及樂學路口"/>
    <s v="桃園市龜山區文桃路及文茂路口"/>
    <s v="禾聯股份有限公司"/>
    <x v="5"/>
    <x v="2"/>
    <s v="禾華營造股份有限公司(甲級)"/>
    <s v="海悅國際開發股份有限公司司"/>
    <s v="明星學區、景觀宅、近公園、低首付"/>
    <s v="33.5%"/>
    <n v="0.33500000000000002"/>
    <s v="1幢，13棟，1044戶住家"/>
    <n v="1044"/>
    <n v="0"/>
    <s v="52.94%"/>
    <n v="0.52939999999999998"/>
    <s v="地上14~15層，地下4層"/>
    <n v="15"/>
    <s v="平面式1068個"/>
    <s v="65元/坪/月"/>
    <s v="1:1.02"/>
    <n v="1.02"/>
    <s v="RC"/>
    <s v="4720.89坪"/>
    <n v="4720.8900000000003"/>
    <s v="住商用"/>
    <x v="1"/>
    <s v="暫無"/>
    <s v="暫無"/>
    <s v="109桃市都建執照字第00083號等1個"/>
    <s v="廖錦盈建築師事務所"/>
    <s v="暫無"/>
    <x v="1"/>
  </r>
  <r>
    <s v="203"/>
    <s v="2.樂善園區周邊"/>
    <x v="9"/>
    <s v="203 耀台北"/>
    <s v="fig/AiCity-939-耀台北.jpg"/>
    <s v="https://newhouse.591.com.tw/home/housing/detail?hid=118336&amp;v=720"/>
    <s v="26~28萬元/坪"/>
    <n v="26"/>
    <n v="28"/>
    <x v="4"/>
    <m/>
    <m/>
    <m/>
    <s v="170~195萬"/>
    <n v="170"/>
    <n v="195"/>
    <s v="85%"/>
    <s v="銷售中"/>
    <s v="隨時交屋"/>
    <s v="2021Q2"/>
    <s v="標準配備"/>
    <s v="二房(26-29坪)、三房(39~40坪)、4房(44坪)"/>
    <s v="預售屋"/>
    <s v="A7XLK"/>
    <s v="住宅大樓 住商用"/>
    <s v="桃園市龜山區樂捷段地號 184"/>
    <s v="桃園市龜山區文化一路103號"/>
    <s v="和耀建設股份有限公司"/>
    <x v="6"/>
    <x v="0"/>
    <s v="國城營造有限公司"/>
    <s v="漢乙廣告有限公司"/>
    <s v="近捷運、明星學區、景觀宅、近公園、重劃區、低首付"/>
    <s v="31.5%"/>
    <n v="0.315"/>
    <s v="5棟，199戶住家，2戶店面"/>
    <n v="199"/>
    <n v="2"/>
    <s v="46.14%"/>
    <n v="0.46139999999999998"/>
    <s v="地上15層，地下4層"/>
    <n v="15"/>
    <s v="平面式139個、機械式65個"/>
    <s v="待定"/>
    <s v="1:1.01"/>
    <n v="1.01"/>
    <s v="RC"/>
    <s v="909.91坪"/>
    <n v="909.91"/>
    <s v="住商用"/>
    <x v="0"/>
    <s v="暫無"/>
    <s v="暫無"/>
    <s v="(107)桃市都建執照字第會龜00614號等1個"/>
    <s v="拓璞聯合建築師事務所"/>
    <s v="暫無"/>
    <x v="1"/>
  </r>
  <r>
    <s v="204"/>
    <s v="2.樂善園區周邊"/>
    <x v="10"/>
    <s v="204 皇普MVP"/>
    <s v="fig/AiCity-939-皇普MVP.jpg"/>
    <s v="https://newhouse.591.com.tw/home/housing/detail?hid=118186"/>
    <s v="25~26萬元/坪"/>
    <n v="25"/>
    <n v="26"/>
    <x v="3"/>
    <s v="A7皇普MVP屋主交流團"/>
    <s v="https://www.facebook.com/groups/800873736965340"/>
    <m/>
    <m/>
    <m/>
    <m/>
    <n v="0.8"/>
    <s v="銷售中"/>
    <s v="2021年10月"/>
    <s v="2021Q4"/>
    <s v="標準配備"/>
    <s v="二房(26~29坪) 、三房(37~40坪)"/>
    <s v="預售屋"/>
    <s v="A7XLK"/>
    <s v="住宅大樓 住商用"/>
    <s v="桃園市龜山區文化一路"/>
    <s v="桃園市龜山區文化一路73號對面 "/>
    <s v="皇普建設股份有限公司"/>
    <x v="7"/>
    <x v="0"/>
    <s v="安興營造有限公司"/>
    <s v="新理想廣告"/>
    <s v="近捷運、明星學區、重劃區、低首付"/>
    <n v="0.31859999999999999"/>
    <n v="0.31859999999999999"/>
    <s v="6棟，308戶住家，13戶店面"/>
    <n v="308"/>
    <n v="13"/>
    <n v="0.47989999999999999"/>
    <n v="0.47989999999999999"/>
    <s v="地上15層，地下4層"/>
    <n v="15"/>
    <s v="平面式276個、機械式45個"/>
    <s v="50元/坪/月"/>
    <s v="1:1"/>
    <n v="1"/>
    <s v="RC"/>
    <s v="1390.39坪"/>
    <n v="1390.39"/>
    <s v="住商用"/>
    <x v="2"/>
    <s v="暫無"/>
    <s v="暫無"/>
    <s v="(107)桃市都建執照字第會龜01075號"/>
    <s v="拓璞聯合建築師事務所"/>
    <s v="暫無"/>
    <x v="1"/>
  </r>
  <r>
    <s v="205"/>
    <s v="2.樂善園區周邊"/>
    <x v="11"/>
    <s v="205 富宇敦峰"/>
    <s v="fig/AiCity-939-富宇敦峰.jpg"/>
    <s v="https://newhouse.591.com.tw/home/housing/detail?hid=116430&amp;v=720"/>
    <s v="30~32萬元/坪"/>
    <n v="30"/>
    <n v="32"/>
    <x v="6"/>
    <s v="富宇敦峰住戶社團"/>
    <s v="https://www.facebook.com/groups/124542338433380"/>
    <m/>
    <s v="180~195萬"/>
    <n v="180"/>
    <n v="195"/>
    <s v="80%"/>
    <s v="銷售中"/>
    <s v="隨時交屋"/>
    <s v="2021Q2"/>
    <s v="標準配備"/>
    <s v="二房(29坪) 、三房(38坪) 、四房(49坪) 、2+1房(32坪) 、3+1房(43坪)"/>
    <s v="新成屋"/>
    <s v="A7XLK"/>
    <s v="住宅大樓 住商用"/>
    <s v="桃園市龜山區樂善國小旁"/>
    <s v="桃園市龜山區文化一路.華亞三路口"/>
    <s v="富宇建設股份有限公司"/>
    <x v="4"/>
    <x v="1"/>
    <s v="盛傑營造"/>
    <s v="華威廣告"/>
    <s v="明星學區、景觀宅、近公園、重劃區、低首付"/>
    <s v="33.35%"/>
    <n v="0.33350000000000002"/>
    <s v="8棟，441戶住家，7戶店面"/>
    <n v="441"/>
    <n v="7"/>
    <s v="43.92%"/>
    <n v="0.43919999999999998"/>
    <s v="地上15層，地下3層"/>
    <n v="15"/>
    <s v="平面式465個"/>
    <s v="65元/坪/月"/>
    <s v="1:1.04"/>
    <n v="1.04"/>
    <s v="RC"/>
    <s v="2727.34坪"/>
    <n v="2727.34"/>
    <s v="住商用"/>
    <x v="0"/>
    <s v="暫無"/>
    <s v="暫無"/>
    <s v="107桃市都建執照0680號等1個"/>
    <s v="吳六合建築師事務所"/>
    <s v="暫無"/>
    <x v="1"/>
  </r>
  <r>
    <s v="206"/>
    <s v="2.樂善園區周邊"/>
    <x v="12"/>
    <s v="206 玄泰V1"/>
    <s v="fig/AiCity-939-玄泰V1.jpg"/>
    <s v="https://newhouse.591.com.tw/home/housing/detail?hid=120098&amp;v=720"/>
    <s v="27~29萬元/坪"/>
    <n v="27"/>
    <n v="29"/>
    <x v="7"/>
    <m/>
    <m/>
    <m/>
    <s v="155~195萬"/>
    <n v="155"/>
    <n v="195"/>
    <s v="80%"/>
    <s v="銷售中"/>
    <s v="2022年下半年"/>
    <s v="2022Q4"/>
    <s v="標準配備"/>
    <s v="二房(21~28坪)、三房(30~46坪)"/>
    <s v="預售屋"/>
    <s v="A7XLK"/>
    <s v="住宅大樓 住商用"/>
    <s v="桃園市龜山區文化一路&amp;樂安街路口"/>
    <s v="桃園市龜山區文化一路&amp;文樂路口"/>
    <s v="允泰開發有限公司"/>
    <x v="8"/>
    <x v="3"/>
    <s v="益盛營造"/>
    <s v="天湛廣告"/>
    <s v="近捷運、重劃區"/>
    <s v="31.9%"/>
    <n v="0.31900000000000001"/>
    <s v="2棟，138戶住家，8戶店面，125戶一般事務所"/>
    <n v="138"/>
    <n v="8"/>
    <s v="60.16%"/>
    <n v="0.60160000000000002"/>
    <s v="地上24層，地下5層"/>
    <n v="24"/>
    <s v="平面式284個"/>
    <s v="待定"/>
    <s v="1:1.05"/>
    <n v="1.05"/>
    <s v="RC"/>
    <s v="911.52坪"/>
    <n v="911.52"/>
    <s v="住商用"/>
    <x v="3"/>
    <s v="暫無"/>
    <s v="暫無"/>
    <s v="(108)桃市都建執照字第會龜00216號等1個"/>
    <s v="新森峰建築師事務所"/>
    <s v="暫無"/>
    <x v="1"/>
  </r>
  <r>
    <s v="207"/>
    <s v="2.樂善園區周邊"/>
    <x v="13"/>
    <s v="207 和耀恆美"/>
    <s v="fig/AiCity-939-和耀恆美.jpeg"/>
    <s v="https://newhouse.591.com.tw/home/housing/detail?hid=122650&amp;v=720"/>
    <s v="28~33 萬/坪"/>
    <n v="28"/>
    <n v="33"/>
    <x v="8"/>
    <m/>
    <m/>
    <m/>
    <s v="待訂"/>
    <m/>
    <m/>
    <s v="80%"/>
    <s v="銷售中"/>
    <s v="2022年第二季度"/>
    <s v="2022Q2"/>
    <s v="標準配備"/>
    <s v="二房(27~29坪) 、 三房(36~48坪)"/>
    <s v="預售屋"/>
    <s v="A7XLK"/>
    <s v="住宅大樓 住商用"/>
    <s v="桃園市龜山區樂捷段172地號"/>
    <s v="桃園市龜山區文化一路&amp;樂學路口 "/>
    <s v="和耀建設股份有限公司"/>
    <x v="6"/>
    <x v="0"/>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n v="280"/>
    <n v="11"/>
    <n v="0.4743"/>
    <n v="0.4743"/>
    <s v="地上15層，地下4層"/>
    <n v="15"/>
    <s v="平面式236個、機械式59個"/>
    <s v="待定"/>
    <s v="1:1.01"/>
    <n v="1.01"/>
    <s v="RC"/>
    <s v="1309.14坪"/>
    <n v="1309.1400000000001"/>
    <s v="住商用"/>
    <x v="2"/>
    <m/>
    <s v="暫無"/>
    <s v="107桃市都建執照字第00925-01號"/>
    <s v="拓璞聯合建築師事務所"/>
    <s v="暫無"/>
    <x v="1"/>
  </r>
  <r>
    <s v="301"/>
    <s v="3.華亞園區周邊"/>
    <x v="14"/>
    <s v="301 允將大作"/>
    <s v="fig/AiCity-939-允將大作.jpg"/>
    <s v="https://newhouse.591.com.tw/home/housing/detail?hid=124450"/>
    <s v="35~38萬元/坪"/>
    <n v="35"/>
    <n v="38"/>
    <x v="9"/>
    <m/>
    <m/>
    <m/>
    <s v="140~210萬"/>
    <n v="140"/>
    <n v="210"/>
    <s v="80%"/>
    <s v="銷售中"/>
    <s v="2028年第二季度"/>
    <s v="2028Q2"/>
    <s v="標準配備"/>
    <s v="一房(18坪) 、二房(22~27坪) 、三房(31~42坪) 、店面(58~160坪) 、辦公室(18~42坪)"/>
    <s v="預售屋"/>
    <s v="A7XLK"/>
    <s v="住宅大樓 住商用"/>
    <s v="桃園市龜山區文化一路、樂善三路口 "/>
    <s v="桃園市龜山區文化一路568號 "/>
    <s v="允將建設股份有限公司"/>
    <x v="9"/>
    <x v="4"/>
    <s v="東霙營造股份有限公司"/>
    <s v="時詣廣告股份有限公司"/>
    <s v="近捷運、明星學區、景觀宅、制震宅、近公園、重劃區、低首付"/>
    <n v="0.33800000000000002"/>
    <n v="0.33800000000000002"/>
    <s v="1幢，7棟，530戶住家，5戶店面，20戶事務所，1戶管委會空間"/>
    <n v="530"/>
    <n v="5"/>
    <n v="0.45529999999999998"/>
    <n v="0.45529999999999998"/>
    <s v="地上31層，地下6層"/>
    <n v="31"/>
    <s v="平面式563個"/>
    <s v="80元/坪/月"/>
    <s v="1:1.01"/>
    <n v="1.01"/>
    <s v="RC"/>
    <s v="1554.48坪"/>
    <n v="1554.48"/>
    <s v="住商用"/>
    <x v="3"/>
    <s v="暫無"/>
    <s v="暫無"/>
    <s v="106桃市都建執照字第00391-01號"/>
    <s v="王銘鴻建築師事務所"/>
    <s v="暫無"/>
    <x v="1"/>
  </r>
  <r>
    <s v="302"/>
    <s v="3.華亞園區周邊"/>
    <x v="15"/>
    <s v="302 欣時代"/>
    <s v="fig/AiCity-939-欣時代.jpg"/>
    <s v="https://newhouse.591.com.tw/home/housing/detail?hid=118905"/>
    <s v="27~29萬元/坪"/>
    <n v="27"/>
    <n v="29"/>
    <x v="7"/>
    <m/>
    <m/>
    <m/>
    <s v="170~205萬"/>
    <n v="170"/>
    <n v="205"/>
    <s v="80%"/>
    <s v="銷售中"/>
    <s v="2023年下半年"/>
    <s v="2023Q4"/>
    <s v="標準配備"/>
    <s v="三房(31~35坪) 、2+1房(26~29坪)"/>
    <s v="預售屋"/>
    <s v="A7XLK"/>
    <s v="住宅大樓 住商用"/>
    <s v="桃園市龜山區文化一路.華亞三路交叉口"/>
    <s v="桃園市龜山區文化一路、文桃路口"/>
    <s v="欣巴巴事業股份有限公司"/>
    <x v="10"/>
    <x v="5"/>
    <s v="巴森營造股份有限公司"/>
    <s v="新高創團隊，寰宇動力廣告有限公司"/>
    <s v="近捷運、景觀宅、制震宅、近公園、重劃區、創意空間、低首付"/>
    <s v="33.5%"/>
    <n v="0.33500000000000002"/>
    <s v="5棟，235戶住家，4戶店面，19戶一般事務所"/>
    <n v="235"/>
    <n v="4"/>
    <s v="57.49%"/>
    <n v="0.57489999999999997"/>
    <s v="地上30層，地下6層"/>
    <n v="30"/>
    <s v="平面式235個"/>
    <s v="待定"/>
    <s v="1:0.91"/>
    <n v="0.91"/>
    <s v="RC"/>
    <s v="713.17坪"/>
    <n v="713.17"/>
    <s v="住商用"/>
    <x v="3"/>
    <s v="暫無"/>
    <s v="暫無"/>
    <s v="(106)桃市都建執照字第會龜00288-02號等1個"/>
    <s v="卓玲建築師事務所"/>
    <s v="暫無"/>
    <x v="1"/>
  </r>
  <r>
    <s v="303"/>
    <s v="3.華亞園區周邊"/>
    <x v="16"/>
    <s v="303 新潤翡麗"/>
    <s v="fig/AiCity-939-新潤翡麗.jpg"/>
    <s v="https://newhouse.591.com.tw/home/housing/detail?hid=117434&amp;v=720"/>
    <s v="26~28萬元/坪"/>
    <n v="26"/>
    <n v="28"/>
    <x v="4"/>
    <m/>
    <m/>
    <m/>
    <s v="160~190萬"/>
    <n v="160"/>
    <n v="190"/>
    <s v="80%"/>
    <s v="銷售中"/>
    <s v="2021年第四季"/>
    <s v="2021Q4"/>
    <s v="標準配備"/>
    <s v="一房(15~17坪) 、二房(22坪) 、三房(26~31坪) 、2+1房(24坪)"/>
    <s v="預售屋"/>
    <s v="A7XLK"/>
    <s v="住宅大樓 住商用"/>
    <s v="桃園市龜山區文化一路與華亞三路"/>
    <s v="桃園市龜山區文化一路與華亞二路口"/>
    <s v="新潤建設機構"/>
    <x v="11"/>
    <x v="6"/>
    <s v="揚潤營造有限公司"/>
    <s v="華磐國際開發股份有限公司"/>
    <s v="近捷運、明星學區、景觀宅、重劃區、低首付"/>
    <s v="33.5~34.5%"/>
    <n v="0.33750000000000002"/>
    <s v="1幢，2棟，420戶住家，20戶店面，11戶一般事務所"/>
    <n v="420"/>
    <n v="20"/>
    <s v="65.02%"/>
    <n v="0.6502"/>
    <s v="地上24層，地下5層"/>
    <n v="24"/>
    <s v="平面式330個"/>
    <s v="待定"/>
    <s v="1:0.73"/>
    <n v="0.73"/>
    <s v="RC"/>
    <s v="1083.97坪"/>
    <n v="1083.97"/>
    <s v="住商用"/>
    <x v="3"/>
    <s v="暫無"/>
    <s v="暫無"/>
    <s v="(106)桃市都建執照字第會龜00984-01號等1個"/>
    <s v="蕭家福聯合建築師事務所"/>
    <s v="暫無"/>
    <x v="1"/>
  </r>
  <r>
    <s v="304"/>
    <s v="3.華亞園區周邊"/>
    <x v="17"/>
    <s v="304 新潤鉑麗"/>
    <s v="fig/AiCity-939-新潤鉑麗.jpg"/>
    <s v="https://newhouse.591.com.tw/home/housing/detail?hid=119614"/>
    <s v="27~29萬元/坪"/>
    <n v="27"/>
    <n v="29"/>
    <x v="7"/>
    <s v="新潤翡麗住戶天地"/>
    <s v="https://www.facebook.com/groups/321511928734593"/>
    <m/>
    <s v="165~190萬"/>
    <n v="165"/>
    <n v="190"/>
    <s v="80%"/>
    <s v="銷售中"/>
    <s v="隨時交屋"/>
    <s v="2021Q2"/>
    <s v="標準配備"/>
    <s v="二房(20坪) 、三房(27~35坪) 、2+1房(24坪) 、3+1房(36坪)"/>
    <s v="新成屋"/>
    <s v="A7XLK"/>
    <s v="住宅大樓 住商用"/>
    <s v="桃園市龜山區華亞三路39巷2號 "/>
    <s v="桃園市龜山區華亞三路39巷2號 "/>
    <s v="新潤興業股份有限公司"/>
    <x v="12"/>
    <x v="6"/>
    <s v="國原營造股份有限公司"/>
    <s v="華麟廣告"/>
    <s v="近捷運、明星學區、景觀宅、重劃區"/>
    <n v="0.33500000000000002"/>
    <n v="0.33500000000000002"/>
    <s v="2幢，3棟，266戶住家，13戶店面"/>
    <n v="266"/>
    <n v="13"/>
    <n v="0.59850000000000003"/>
    <n v="0.59850000000000003"/>
    <s v="地上15層，地下4層"/>
    <n v="15"/>
    <s v="平面式243個"/>
    <s v="80元/坪/月"/>
    <s v="1:0.87"/>
    <n v="0.87"/>
    <s v="RC"/>
    <s v="1137.47坪"/>
    <n v="1137.47"/>
    <s v="住商用"/>
    <x v="2"/>
    <s v="暫無"/>
    <s v="暫無"/>
    <s v="107桃市都建執照字第龜01089-01號"/>
    <s v="蕭家福聯合建築師事務所"/>
    <s v="109桃市都施使字第00666號"/>
    <x v="1"/>
  </r>
  <r>
    <s v="305"/>
    <s v="3.華亞園區周邊"/>
    <x v="18"/>
    <s v="305 根津苑"/>
    <s v="fig/AiCity-939-根津苑.jpg"/>
    <s v="https://newhouse.591.com.tw/home/housing/detail?hid=118143&amp;v=720"/>
    <s v="24~26萬元/坪"/>
    <n v="24"/>
    <n v="26"/>
    <x v="2"/>
    <s v="根津苑"/>
    <s v="https://www.facebook.com/%E6%A0%B9%E6%B4%A5%E8%8B%91-102597158541363"/>
    <m/>
    <s v="160~190萬"/>
    <n v="160"/>
    <n v="190"/>
    <s v="80%"/>
    <s v="銷售中"/>
    <s v="隨時交屋"/>
    <s v="2021Q2"/>
    <s v="標準配備"/>
    <s v="二房(25~28坪)、三房(36~40坪)、4房(49坪)"/>
    <s v="新成屋"/>
    <s v="A7XLK"/>
    <s v="住宅大樓 住商用"/>
    <s v="桃園市龜山區樂善三路"/>
    <s v="桃園市龜山區文化一路與華亜三路交口"/>
    <s v="鴻承建設股份有限公司"/>
    <x v="13"/>
    <x v="0"/>
    <s v="國城營造有限公司"/>
    <s v="永捷廣告有限公司"/>
    <s v="近捷運、明星學區、制震宅、近公園、重劃區"/>
    <s v="32%"/>
    <n v="0.32"/>
    <s v="4棟，225戶住家，3戶店面"/>
    <n v="225"/>
    <n v="3"/>
    <s v="50.54%"/>
    <n v="0.50539999999999996"/>
    <s v="地上15層，地下4層"/>
    <n v="15"/>
    <s v="平面式228個"/>
    <s v="待定"/>
    <s v="1:1"/>
    <n v="1"/>
    <s v="RC"/>
    <s v="1848.44坪"/>
    <n v="1848.44"/>
    <s v="住商用"/>
    <x v="2"/>
    <s v="暫無"/>
    <s v="暫無"/>
    <s v="(107)桃市都建執照字第會龜00667號等1個"/>
    <s v="拓璞聯合建築師事務所"/>
    <s v="暫無"/>
    <x v="1"/>
  </r>
  <r>
    <s v="306"/>
    <s v="3.華亞園區周邊"/>
    <x v="19"/>
    <s v="306 華悅城"/>
    <s v="fig/AiCity-939-華悅城.jpg"/>
    <s v="https://newhouse.591.com.tw/home/housing/detail?hid=120741"/>
    <s v="26~30萬元/坪"/>
    <n v="26"/>
    <n v="30"/>
    <x v="7"/>
    <m/>
    <m/>
    <m/>
    <s v="150~195萬"/>
    <n v="150"/>
    <n v="195"/>
    <s v="80%"/>
    <s v="銷售中"/>
    <s v="2021年下半年"/>
    <s v="2021Q4"/>
    <s v="標準配備"/>
    <s v="二房(23坪) 、三房(32坪)"/>
    <s v="預售屋"/>
    <s v="A7XLK"/>
    <s v="住宅大樓 住商用"/>
    <s v="桃園市龜山區樂善二路、樂善三路口"/>
    <s v="桃園市龜山區文化一路"/>
    <s v="興富發建設股份有限公司"/>
    <x v="14"/>
    <x v="7"/>
    <s v="齊裕營造股份有限公司"/>
    <s v="愛山林建設開發(股)公司"/>
    <s v="近捷運、明星學區、景觀宅、近公園、重劃區、低首付"/>
    <n v="0.34"/>
    <n v="0.34"/>
    <s v="3棟，776戶住家，8戶店面"/>
    <n v="776"/>
    <n v="8"/>
    <n v="0.44359999999999999"/>
    <n v="0.44359999999999999"/>
    <s v="地上18層，地下4層"/>
    <n v="18"/>
    <s v="平面式590個、機械式119個"/>
    <s v="待定"/>
    <s v="1:0.9"/>
    <n v="0.9"/>
    <s v="RC"/>
    <s v="2751.33坪"/>
    <n v="2751.33"/>
    <s v="住商用"/>
    <x v="2"/>
    <s v="暫無"/>
    <s v="暫無"/>
    <s v="(108)桃市都建執照字第會龜00410-01號"/>
    <s v="廖蓮輝建築師事務所"/>
    <s v="暫無"/>
    <x v="1"/>
  </r>
  <r>
    <s v="307"/>
    <s v="3.華亞園區周邊"/>
    <x v="20"/>
    <s v="307 富宇悅峰"/>
    <s v="fig/AiCity-939-富宇悅峰.jpg"/>
    <s v="https://newhouse.591.com.tw/home/housing/detail?hid=119483&amp;v=720"/>
    <s v="28~32萬元/坪"/>
    <n v="28"/>
    <n v="32"/>
    <x v="10"/>
    <m/>
    <m/>
    <m/>
    <s v="175~195萬"/>
    <n v="175"/>
    <n v="195"/>
    <s v="80%"/>
    <s v="銷售中"/>
    <s v="2022年第一季"/>
    <s v="2022Q1"/>
    <s v="標準配備"/>
    <s v="二房(27~31坪) 、三房(27~31坪)"/>
    <s v="預售屋"/>
    <s v="A7XLK"/>
    <s v="住宅大樓 住家用"/>
    <s v="桃園市龜山區善捷段地號 209"/>
    <s v="桃園市龜山區文化一路與文桃路口"/>
    <s v="富宇建設股份有限公司"/>
    <x v="4"/>
    <x v="1"/>
    <s v="盛傑營造有限公司"/>
    <s v="華威廣告有限公司"/>
    <s v="近捷運、明星學區、景觀宅、近公園、重劃區、低首付"/>
    <s v="33.5~40%"/>
    <n v="0.36799999999999999"/>
    <s v="5棟，264戶住家"/>
    <n v="264"/>
    <n v="0"/>
    <s v="40.21%"/>
    <n v="0.40210000000000001"/>
    <s v="地上14層，地下4層"/>
    <n v="14"/>
    <s v="平面式227個"/>
    <s v="70元/坪/月"/>
    <s v="1:0.86"/>
    <n v="0.86"/>
    <s v="RC"/>
    <s v="1266.01坪"/>
    <n v="1266.01"/>
    <s v="住商用"/>
    <x v="2"/>
    <s v="暫無"/>
    <s v="暫無"/>
    <s v="(108)桃市都建執照字第會龜00334號等1個"/>
    <s v="徐瑞燦建築師事務所"/>
    <s v="暫無"/>
    <x v="2"/>
  </r>
  <r>
    <s v="308"/>
    <s v="3.華亞園區周邊"/>
    <x v="21"/>
    <s v="308 合遠新天地"/>
    <s v="fig/AiCity-939-合遠新天地.jpeg"/>
    <m/>
    <s v="24~26萬元/坪"/>
    <n v="24"/>
    <n v="26"/>
    <x v="2"/>
    <m/>
    <m/>
    <m/>
    <s v="165~185萬"/>
    <n v="165"/>
    <n v="185"/>
    <s v="80%"/>
    <s v="已完銷"/>
    <s v="隨時交屋"/>
    <s v="2021Q2"/>
    <s v="標準配備"/>
    <s v="二房(27~28坪)、三房(36~43坪)"/>
    <s v="新成屋"/>
    <s v="A7XLK"/>
    <s v="住宅大樓 住商用"/>
    <s v="桃園市龜山區華亞三路"/>
    <s v="桃園市龜山區華亞三路"/>
    <s v="合遠建設股份有限公司"/>
    <x v="15"/>
    <x v="0"/>
    <s v="國城營造有限公司"/>
    <s v="盛馨廣告有限公司"/>
    <s v="近捷運、近公園、重劃區"/>
    <s v="31~32%"/>
    <n v="0.315"/>
    <s v="2棟，112戶住家，4戶店面"/>
    <n v="112"/>
    <n v="4"/>
    <s v="33.97%"/>
    <n v="0.3397"/>
    <s v="地上15層，地下4層"/>
    <n v="15"/>
    <s v="平面式104個、機械式14個"/>
    <s v="待定"/>
    <s v="1:1.02"/>
    <n v="1.02"/>
    <s v="RC"/>
    <s v="642.92坪"/>
    <n v="642.91999999999996"/>
    <s v="住商用"/>
    <x v="2"/>
    <s v="暫無"/>
    <s v="暫無"/>
    <s v="(106)桃市都建執照字第會龜01161-01號等1個"/>
    <s v="閤康聯合建築師事務所"/>
    <s v="暫無"/>
    <x v="2"/>
  </r>
  <r>
    <s v="309"/>
    <s v="3.華亞園區周邊"/>
    <x v="22"/>
    <s v="309 友文化"/>
    <s v="fig/AiCity-939-友文化.jpg"/>
    <s v="https://newhouse.591.com.tw/home/housing/info?hid=121155"/>
    <s v="30~31萬元/坪"/>
    <n v="30"/>
    <n v="31"/>
    <x v="8"/>
    <s v="友文化"/>
    <s v="https://www.facebook.com/groups/710305099774047"/>
    <m/>
    <s v="195~215萬"/>
    <n v="195"/>
    <n v="215"/>
    <s v="80%"/>
    <s v="銷售中"/>
    <s v="2021年第三季度"/>
    <s v="2021Q3"/>
    <s v="標準配備"/>
    <s v="二房(26~27坪) 、三房(37~42坪)"/>
    <s v="預售屋"/>
    <s v="A7XLK"/>
    <s v="住宅大樓 住商用"/>
    <s v="桃園市龜山區文化二路、華亞三路口 "/>
    <s v="桃園市龜山區華亞三路195號 "/>
    <s v="合遠建設股份有限公司"/>
    <x v="15"/>
    <x v="0"/>
    <s v="國城營造有限公司"/>
    <s v="新高智廣告"/>
    <s v="近捷運、景觀宅、近公園、重劃區、低首付"/>
    <n v="0.32"/>
    <n v="0.32"/>
    <s v="3幢，7棟，305戶住家"/>
    <n v="305"/>
    <n v="0"/>
    <n v="0.44209999999999999"/>
    <n v="0.44209999999999999"/>
    <s v="地上15層，地下4層"/>
    <n v="15"/>
    <s v="平面式279個、機械式26個"/>
    <s v="50元/坪/月"/>
    <s v="1:1"/>
    <n v="1"/>
    <s v="RC"/>
    <s v="1426.7坪"/>
    <n v="1426.7"/>
    <s v="住商用"/>
    <x v="2"/>
    <s v="暫無"/>
    <s v="暫無"/>
    <s v="(108)桃市都建執照字第會龜00050號"/>
    <s v="蔡智勸建築師事務所"/>
    <s v="暫無"/>
    <x v="2"/>
  </r>
  <r>
    <s v="310"/>
    <s v="3.華亞園區周邊"/>
    <x v="23"/>
    <s v="310 水悅青青"/>
    <s v="fig/AiCity-939-水悅青青.webp"/>
    <s v="https://newhouse.591.com.tw/home/housing/detail?hid=125625"/>
    <s v="29~31 萬/坪"/>
    <n v="29"/>
    <n v="31"/>
    <x v="10"/>
    <m/>
    <m/>
    <m/>
    <s v="190~210萬"/>
    <n v="190"/>
    <n v="210"/>
    <s v="80%"/>
    <s v="銷售中"/>
    <s v="2021年10月"/>
    <s v="2021Q4"/>
    <s v="標準配備"/>
    <s v="二房(25~28坪) 、 三房(38坪) 、 2+1房(34坪)"/>
    <s v="預售屋"/>
    <s v="A7XLK"/>
    <s v="住宅大樓 住商用"/>
    <s v="桃園市龜山區善捷段28地號"/>
    <s v="桃園市龜山區文化一路88-2號"/>
    <s v="鴻承建設股份有限公司"/>
    <x v="13"/>
    <x v="0"/>
    <s v="國城營造有限公司"/>
    <s v="永捷廣告"/>
    <s v="水悅青青公園第一排職人施工 EPDM防水材 浴室止水墩公園 湖景 學區 捷運A8生活圈 華亞特區名宅聚落"/>
    <n v="0.32"/>
    <n v="0.32"/>
    <s v="1幢，3棟，204戶住家，7戶店面"/>
    <n v="204"/>
    <n v="7"/>
    <n v="0.55610000000000004"/>
    <n v="0.55610000000000004"/>
    <s v="地上13、14層，地下5層"/>
    <n v="14"/>
    <s v="平面式211個"/>
    <s v="待定"/>
    <s v="1:1"/>
    <n v="1"/>
    <s v="RC"/>
    <s v="910.52坪"/>
    <n v="910.52"/>
    <s v="住商用"/>
    <x v="2"/>
    <m/>
    <s v="暫無"/>
    <s v="108桃市都建執照字第00167號"/>
    <s v="拓璞聯合建築師事務所"/>
    <s v="暫無"/>
    <x v="1"/>
  </r>
  <r>
    <s v="311"/>
    <s v="3.華亞園區周邊"/>
    <x v="24"/>
    <s v="311 文華天際"/>
    <s v="fig/AiCity-939-文華天際.png"/>
    <s v="https://newhouse.591.com.tw/home/housing/detail?hid=127139"/>
    <s v="27 萬/坪 "/>
    <n v="27"/>
    <n v="27"/>
    <x v="4"/>
    <m/>
    <m/>
    <m/>
    <s v="115~217萬"/>
    <n v="115"/>
    <n v="217"/>
    <s v="80%"/>
    <s v="尚未開賣"/>
    <s v="時間待定"/>
    <m/>
    <s v="標準配備"/>
    <s v="二房(24~28坪) 、 三房(29~36坪) 、 3+1房(41坪)"/>
    <s v="預售屋"/>
    <s v="A7XLK"/>
    <s v="住宅大樓 住商用"/>
    <s v="桃園市龜山區文化二路、華亞三路口"/>
    <s v="桃園市龜山區文桃路、樂善一路口"/>
    <s v="合遠建設股份有限公司"/>
    <x v="15"/>
    <x v="0"/>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n v="478"/>
    <n v="8"/>
    <n v="0.3347"/>
    <n v="0.3347"/>
    <s v="地上22層，地下4層"/>
    <n v="22"/>
    <s v="平面式440個、機械式46個"/>
    <s v="待定"/>
    <s v="1:1"/>
    <n v="1"/>
    <s v="RC"/>
    <s v="1998.07坪"/>
    <n v="1998.07"/>
    <s v="住商用"/>
    <x v="2"/>
    <m/>
    <s v="暫無"/>
    <s v="109桃市都建執照字第00376-01號"/>
    <s v="蔡智勸建築師事務所"/>
    <s v="暫無"/>
    <x v="2"/>
  </r>
  <r>
    <s v="401"/>
    <s v="4.中心商業區及文青國中小生活圈"/>
    <x v="25"/>
    <s v="401 竹城甲子園"/>
    <s v="fig/AiCity-939-竹城甲子園.jpg"/>
    <s v="https://newhouse.591.com.tw/home/housing/detail?hid=119261&amp;v=720"/>
    <s v="26~28萬元/坪"/>
    <n v="26"/>
    <n v="28"/>
    <x v="4"/>
    <s v="竹城甲子園住戶交流區"/>
    <s v="https://www.facebook.com/groups/1127911624065990"/>
    <m/>
    <m/>
    <m/>
    <m/>
    <s v="80%"/>
    <s v="銷售中"/>
    <s v="2021年下半度"/>
    <s v="2021Q4"/>
    <s v="標準配備"/>
    <s v="二房(26~28坪) 、三房(36~39坪) 、四房(43~49坪) 、2+1房(26~29坪)"/>
    <s v="預售屋"/>
    <s v="A7XLK"/>
    <s v="住宅大樓 住商用"/>
    <s v="桃園市龜山區文化一路、文桃路口"/>
    <s v="桃園市龜山區文化一路588號"/>
    <s v="竹城建設股份有限公司"/>
    <x v="16"/>
    <x v="8"/>
    <s v="大裕營造有限公司"/>
    <s v="海悅國際開發股份有限公司"/>
    <s v="近捷運、景觀宅、近公園、重劃區"/>
    <s v="32.5%"/>
    <n v="0.32500000000000001"/>
    <s v="8棟，1144戶住家，30戶店面，33戶一般事務所，2戶商場"/>
    <n v="1144"/>
    <n v="30"/>
    <s v="50.21%"/>
    <n v="0.50209999999999999"/>
    <s v="地上24層，地下4層"/>
    <n v="24"/>
    <s v="平面式1063個"/>
    <s v="待定"/>
    <s v="1:0.88"/>
    <n v="0.88"/>
    <s v="RC"/>
    <s v="4352.46坪"/>
    <n v="4352.46"/>
    <s v="住商用"/>
    <x v="3"/>
    <s v="暫無"/>
    <s v="暫無"/>
    <s v="(106)桃市都建執照字第會龜01249-02號等1個"/>
    <s v="閤康聯合建築師事務所"/>
    <s v="暫無"/>
    <x v="1"/>
  </r>
  <r>
    <s v="402"/>
    <s v="4.中心商業區及文青國中小生活圈"/>
    <x v="26"/>
    <s v="402 金捷市"/>
    <s v="fig/AiCity-939-金捷市.jpg"/>
    <s v="https://newhouse.591.com.tw/home/housing/detail?hid=116107&amp;v=720"/>
    <s v="30.5萬元/坪"/>
    <n v="30.5"/>
    <n v="30.5"/>
    <x v="8"/>
    <s v="金捷市準鄰居交流園地"/>
    <s v="https://www.facebook.com/groups/238626460426128"/>
    <m/>
    <s v="140~215萬"/>
    <n v="140"/>
    <n v="215"/>
    <s v="80%"/>
    <s v="銷售中"/>
    <s v="隨時交屋"/>
    <s v="2021Q2"/>
    <s v="標準配備"/>
    <s v="二房(26坪)、三房(38坪)、1+1房(26坪)、2+1房(34坪)"/>
    <s v="預售屋"/>
    <s v="A7XLK"/>
    <s v="住宅大樓 住商用"/>
    <s v="桃園市龜山區文化一路"/>
    <s v="桃園市龜山區文化一路"/>
    <s v="鴻築建設股份有限公司"/>
    <x v="1"/>
    <x v="0"/>
    <s v="國城營造有限公司"/>
    <s v="漢森廣告事業有限公司"/>
    <s v="近捷運、明星學區、制震宅、近公園、重劃區"/>
    <s v="31.9%"/>
    <n v="0.31900000000000001"/>
    <s v="4幢，754戶住家，23戶店面, 1商場"/>
    <n v="754"/>
    <n v="23"/>
    <s v="50.74%"/>
    <n v="0.50739999999999996"/>
    <s v="地上28層，地下6層"/>
    <n v="28"/>
    <s v="平面式822個"/>
    <s v="待定"/>
    <s v="1:1.06"/>
    <n v="1.06"/>
    <s v="RC"/>
    <s v="2090.31坪"/>
    <n v="2090.31"/>
    <s v="住商用"/>
    <x v="3"/>
    <s v="暫無"/>
    <s v="暫無"/>
    <s v="(106)桃市都建執照字第會龜00822號等1個"/>
    <s v="拓樸聯合建築師事務所"/>
    <s v="暫無"/>
    <x v="1"/>
  </r>
  <r>
    <s v="403"/>
    <s v="4.中心商業區及文青國中小生活圈"/>
    <x v="27"/>
    <s v="403 鴻築捷市達"/>
    <s v="fig/AiCity-939-鴻築捷市達.jpg"/>
    <s v="https://newhouse.591.com.tw/home/housing/detail?hid=122649&amp;v=720"/>
    <s v="35~38萬元/坪"/>
    <n v="35"/>
    <n v="38"/>
    <x v="9"/>
    <m/>
    <m/>
    <m/>
    <s v="175~205萬"/>
    <n v="175"/>
    <n v="205"/>
    <s v="80%"/>
    <s v="銷售中"/>
    <s v="2023年12月"/>
    <s v="2023Q4"/>
    <s v="標準配備"/>
    <s v="二房(23、28坪) 、三房(33坪)"/>
    <s v="預售屋"/>
    <s v="A7XLK"/>
    <s v="住宅大樓 住商用"/>
    <s v="桃園市龜山區善捷段182地號"/>
    <s v="桃園市龜山區文化一路238號旁"/>
    <s v="鴻築建設股份有限公司"/>
    <x v="1"/>
    <x v="0"/>
    <s v="國城營造有限公司"/>
    <s v="漢林廣告事業有限公司"/>
    <s v="近捷運、景觀宅、制震宅、近公園、重劃區"/>
    <s v="32%"/>
    <n v="0.32"/>
    <s v="1幢，4棟，771戶住家，31戶店面，1戶商場"/>
    <n v="771"/>
    <n v="31"/>
    <s v="49.53%"/>
    <n v="0.49530000000000002"/>
    <s v="地上29層，地下5層"/>
    <n v="29"/>
    <s v="平面式778個"/>
    <s v="待定"/>
    <s v="1:0.97"/>
    <n v="0.97"/>
    <s v="RC"/>
    <s v="2067.24坪"/>
    <n v="2067.2399999999998"/>
    <s v="住商用"/>
    <x v="3"/>
    <s v="暫無"/>
    <s v="暫無"/>
    <s v="108桃市都建執照字第00438-01號等1個"/>
    <s v="拓璞聯合建築師事務所"/>
    <s v="暫無"/>
    <x v="1"/>
  </r>
  <r>
    <s v="404"/>
    <s v="4.中心商業區及文青國中小生活圈"/>
    <x v="28"/>
    <s v="404 詠勝市中欣"/>
    <s v="fig/AiCity-939-詠勝市中欣.jpg"/>
    <s v="https://newhouse.591.com.tw/home/housing/detail?hid=120096&amp;v=720"/>
    <s v="27~32萬元/坪"/>
    <n v="27"/>
    <n v="32"/>
    <x v="11"/>
    <m/>
    <m/>
    <m/>
    <s v="155~205萬"/>
    <n v="155"/>
    <n v="205"/>
    <s v="80%"/>
    <s v="銷售中"/>
    <s v="2022年12月"/>
    <s v="2022Q4"/>
    <s v="標準配備"/>
    <s v="一房(20坪) 、二房(25坪) 、三房(28~37坪)"/>
    <s v="新成屋"/>
    <s v="A7XLK"/>
    <s v="住宅大樓 住商用"/>
    <s v="桃園市龜山區樂善一路"/>
    <s v="桃園市龜山區樂善一路、樂善二路口"/>
    <s v="詠勝開發有限公司"/>
    <x v="17"/>
    <x v="9"/>
    <s v="詠勝開發營造股份有限公司"/>
    <s v="君漾廣告有限公司"/>
    <s v="近捷運、明星學區、景觀宅、近公園、重劃區、創意空間、低首付"/>
    <s v="33%"/>
    <n v="0.33"/>
    <s v="1棟，257戶住家，7戶店面，32戶一般事務所"/>
    <n v="257"/>
    <n v="7"/>
    <s v="53.26%"/>
    <n v="0.53259999999999996"/>
    <s v="地上22層，地下5層"/>
    <n v="22"/>
    <s v="平面式298個"/>
    <s v="待定"/>
    <s v="1:1.01"/>
    <n v="1.01"/>
    <s v="RC"/>
    <s v="926.66坪"/>
    <n v="926.66"/>
    <s v="住商用"/>
    <x v="3"/>
    <s v="暫無"/>
    <s v="暫無"/>
    <s v="(106)桃市都建執照字第會龜00159-01號等1個"/>
    <s v="新森峰建築師事務所"/>
    <s v="暫無"/>
    <x v="1"/>
  </r>
  <r>
    <s v="405"/>
    <s v="4.中心商業區及文青國中小生活圈"/>
    <x v="29"/>
    <s v="405 新A7"/>
    <s v="fig/AiCity-939-新A7.jpg"/>
    <s v="https://newhouse.591.com.tw/home/housing/detail?hid=122651"/>
    <s v="31~33萬元/坪"/>
    <n v="31"/>
    <n v="33"/>
    <x v="12"/>
    <m/>
    <m/>
    <m/>
    <s v="180~200萬"/>
    <n v="180"/>
    <n v="200"/>
    <s v="80%"/>
    <s v="銷售中"/>
    <s v="2021年第四季度"/>
    <s v="2021Q4"/>
    <s v="標準配備"/>
    <s v="二房(23~27坪) 、三房(25~38坪) 、四房(44~46坪)"/>
    <s v="預售屋"/>
    <s v="A7XLK"/>
    <s v="住宅大樓 住商用"/>
    <s v="桃園市龜山區樂善二路 "/>
    <s v="桃園市龜山區文化一路115號 "/>
    <s v="鴻廣建設股份有限公司"/>
    <x v="18"/>
    <x v="0"/>
    <s v="國城營造有限公司"/>
    <s v="達程廣告股份有限公司"/>
    <s v="近捷運、明星學區、近公園、重劃區"/>
    <n v="0.32"/>
    <n v="0.32"/>
    <s v="4幢，7棟，371戶住家，3戶店面"/>
    <n v="371"/>
    <n v="3"/>
    <n v="0.46450000000000002"/>
    <n v="0.46450000000000002"/>
    <s v="地上15層，地下4層"/>
    <n v="15"/>
    <s v="平面式143個、機械式232個"/>
    <s v="待定"/>
    <s v="1:1"/>
    <n v="1"/>
    <s v="RC"/>
    <s v="1538.68坪"/>
    <n v="1538.68"/>
    <s v="住商用"/>
    <x v="2"/>
    <s v="暫無"/>
    <s v="暫無"/>
    <s v="108桃市都建執照字第00568-02號"/>
    <s v="張建鴻建築師事務所"/>
    <s v="暫無"/>
    <x v="1"/>
  </r>
  <r>
    <s v="406"/>
    <s v="4.中心商業區及文青國中小生活圈"/>
    <x v="30"/>
    <s v="406 富御捷境"/>
    <s v="fig/AiCity-939-富御捷境.jpg"/>
    <s v="https://newhouse.591.com.tw/home/housing/detail?hid=116475"/>
    <s v="27~29萬元/坪"/>
    <n v="27"/>
    <n v="29"/>
    <x v="7"/>
    <s v="A7 富御捷境好鄰居交流團"/>
    <s v="https://www.facebook.com/groups/1970564956581068"/>
    <m/>
    <s v="195~200萬"/>
    <n v="195"/>
    <n v="200"/>
    <s v="80%"/>
    <s v="銷售中"/>
    <s v="隨時交屋"/>
    <s v="2021Q2"/>
    <s v="標準配備"/>
    <s v="一房(18.78坪)、二房(22~29坪)、三房(37~41坪)、四房(43坪)"/>
    <s v="新成屋"/>
    <s v="A7XLK"/>
    <s v="住宅大樓 住商用"/>
    <s v="桃園市龜山區善捷段地號 142"/>
    <s v="桃園市龜山區文桃路"/>
    <s v="和峻建設股份有限公司"/>
    <x v="19"/>
    <x v="0"/>
    <s v="國城營造有限公司"/>
    <s v="新理想廣告有限公司"/>
    <s v="近捷運、景觀宅、重劃區"/>
    <s v="31.5%"/>
    <n v="0.315"/>
    <s v="5棟，337戶住家，2戶店面"/>
    <n v="337"/>
    <n v="2"/>
    <s v="47.5%"/>
    <n v="0.47499999999999998"/>
    <s v="地上14~15層，地下4層"/>
    <n v="15"/>
    <s v="平面式180個、機械式125個"/>
    <s v="待定"/>
    <s v="1:0.9"/>
    <n v="0.9"/>
    <s v="RC"/>
    <s v="1359.03坪"/>
    <n v="1359.03"/>
    <s v="住商用"/>
    <x v="2"/>
    <s v="暫無"/>
    <s v="暫無"/>
    <s v="(106)桃市都建執照字第會龜01237 號等1個"/>
    <s v="拓璞聯合建築師事務所"/>
    <s v="暫無"/>
    <x v="1"/>
  </r>
  <r>
    <s v="407"/>
    <s v="4.中心商業區及文青國中小生活圈"/>
    <x v="31"/>
    <s v="407 富宇哈佛苑"/>
    <s v="fig/AiCity-939-富宇哈佛苑.jpg"/>
    <s v="https://newhouse.591.com.tw/home/housing/detail?hid=121157&amp;v=720"/>
    <s v="33~38萬元/坪"/>
    <n v="33"/>
    <n v="38"/>
    <x v="13"/>
    <m/>
    <m/>
    <m/>
    <s v="180~205萬"/>
    <n v="180"/>
    <n v="205"/>
    <s v="80%"/>
    <s v="銷售中"/>
    <s v="2023年第四季"/>
    <s v="2023Q4"/>
    <s v="標準配備"/>
    <s v="二房(22~25坪) 、三房(30~37坪) 、2+1房(27坪) 、3+1房(40坪)"/>
    <s v="預售屋"/>
    <s v="A7XLK"/>
    <s v="住宅大樓 住商用"/>
    <s v="桃園市龜山區善捷段75地號"/>
    <s v="桃園市龜山區文化一路、華亞三路"/>
    <s v="富宇建設股份有限公司"/>
    <x v="4"/>
    <x v="1"/>
    <s v="盛傑營造有限公司"/>
    <s v="華昱廣告有限公司"/>
    <s v="近捷運、明星學區、景觀宅、近公園、重劃區、低首付"/>
    <s v="33.5%"/>
    <n v="0.33500000000000002"/>
    <s v="1幢，3棟，483戶住家，8戶店面"/>
    <n v="483"/>
    <n v="8"/>
    <s v="44.18%"/>
    <n v="0.44180000000000003"/>
    <s v="地上24層，地下4層"/>
    <n v="24"/>
    <s v="平面式495個"/>
    <s v="70元/坪/月"/>
    <s v="1:1.01"/>
    <n v="1.01"/>
    <s v="RC"/>
    <s v="2155.85坪"/>
    <n v="2155.85"/>
    <s v="住商用"/>
    <x v="2"/>
    <s v="暫無"/>
    <s v="暫無"/>
    <s v="108桃市都建執照字第00961號等1個"/>
    <s v="吳六合建築師事務所"/>
    <s v="暫無"/>
    <x v="1"/>
  </r>
  <r>
    <s v="408"/>
    <s v="4.中心商業區及文青國中小生活圈"/>
    <x v="32"/>
    <s v="408 頤昌豐岳"/>
    <s v="fig/AiCity-939-頤昌豐岳.jpg"/>
    <s v="https://newhouse.591.com.tw/home/housing/info?hid=122055"/>
    <s v="30萬元/坪"/>
    <n v="30"/>
    <n v="30"/>
    <x v="10"/>
    <m/>
    <m/>
    <m/>
    <s v="160~190萬"/>
    <n v="160"/>
    <n v="190"/>
    <s v="80%"/>
    <s v="銷售中"/>
    <s v="2022年第一季度"/>
    <s v="2022Q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x v="10"/>
    <s v="晉福營造"/>
    <s v="鈞驛廣告"/>
    <s v="近捷運、明星學區、重劃區"/>
    <n v="0.32"/>
    <n v="0.32"/>
    <s v="2棟，154戶住家，9戶店面"/>
    <n v="154"/>
    <n v="9"/>
    <n v="0.4622"/>
    <n v="0.4622"/>
    <s v="地上15層，地下4層"/>
    <n v="15"/>
    <s v="平面式190個"/>
    <s v="待定"/>
    <s v="1:1.17"/>
    <n v="1.17"/>
    <s v="RC"/>
    <s v="933.78坪"/>
    <n v="933.78"/>
    <s v="住商用"/>
    <x v="4"/>
    <s v="暫無"/>
    <s v="暫無"/>
    <s v="108桃市都建執照字第01005-01號"/>
    <s v="陳朝雄建築師事務所"/>
    <s v="暫無"/>
    <x v="1"/>
  </r>
  <r>
    <s v="409"/>
    <s v="4.中心商業區及文青國中小生活圈"/>
    <x v="33"/>
    <s v="409 新未來2"/>
    <s v="fig/AiCity-939-新未來2.jpg"/>
    <s v="https://newhouse.591.com.tw/home/housing/info?hid=118904"/>
    <s v="30~32萬元/坪"/>
    <n v="30"/>
    <n v="32"/>
    <x v="6"/>
    <m/>
    <m/>
    <m/>
    <s v="180~210萬"/>
    <n v="180"/>
    <n v="210"/>
    <n v="0.75"/>
    <s v="銷售中"/>
    <s v="2022年5月"/>
    <s v="2022Q2"/>
    <s v="標準配備"/>
    <s v="三房(36~42坪) 、四房(54坪)"/>
    <s v="預售屋"/>
    <s v="A7XLK"/>
    <s v="住宅大樓 住商用"/>
    <s v="桃園市龜山區文桃路內"/>
    <s v="桃園市龜山區樂善一路10號 "/>
    <s v="遠雄建設事業股份有限公司"/>
    <x v="21"/>
    <x v="11"/>
    <s v="遠雄營造股份有限公司"/>
    <s v="遠雄房地產發展(股)公司"/>
    <s v="近捷運、明星學區、近公園、重劃區"/>
    <n v="0.33"/>
    <n v="0.33"/>
    <s v="2棟，376戶住家，9戶店面"/>
    <n v="376"/>
    <n v="9"/>
    <n v="0.36220000000000002"/>
    <n v="0.36220000000000002"/>
    <s v="地上22層，地下4層"/>
    <n v="22"/>
    <s v="平面式438個"/>
    <s v="待定"/>
    <s v="1:1.14"/>
    <n v="1.1399999999999999"/>
    <s v="RC"/>
    <s v="1955.56坪"/>
    <n v="1955.56"/>
    <s v="住商用"/>
    <x v="2"/>
    <s v="暫無"/>
    <s v="暫無"/>
    <s v="(107)桃市字第會龜00687號"/>
    <s v="李祖原聯合建築師事務所"/>
    <s v="暫無"/>
    <x v="1"/>
  </r>
  <r>
    <s v="410"/>
    <s v="4.中心商業區及文青國中小生活圈"/>
    <x v="34"/>
    <s v="410 新未來3"/>
    <s v="fig/AiCity-939-新未來3.jpg"/>
    <s v="https://newhouse.591.com.tw/home/housing/info?hid=122831"/>
    <s v="33~38萬元/坪"/>
    <n v="33"/>
    <n v="38"/>
    <x v="13"/>
    <m/>
    <m/>
    <m/>
    <s v="190萬"/>
    <n v="190"/>
    <n v="190"/>
    <s v="80%"/>
    <s v="銷售中"/>
    <s v="2023年12月"/>
    <s v="2023Q4"/>
    <s v="標準配備"/>
    <s v="二房(24~27坪) 、2+1房(36~42坪) 、3+1房(46坪)"/>
    <s v="預售屋"/>
    <s v="A7XLK"/>
    <s v="住宅大樓 住商用"/>
    <s v="桃園市龜山區文吉路及樂善二路路口"/>
    <s v="桃園市龜山區樂善一路10號 "/>
    <s v="遠雄建設事業股份有限公司"/>
    <x v="21"/>
    <x v="11"/>
    <s v="遠雄營造股份有限公司"/>
    <s v="遠雄房地產發展(股)公司"/>
    <s v="近捷運、明星學區、近公園、重劃區"/>
    <n v="0.3327"/>
    <n v="0.3327"/>
    <s v="2幢，3棟，582戶住家，16戶店面"/>
    <n v="582"/>
    <n v="16"/>
    <n v="0.38300000000000001"/>
    <n v="0.38300000000000001"/>
    <s v="地上19、22層，地下5層"/>
    <n v="22"/>
    <s v="平面式598個"/>
    <s v="待定"/>
    <s v="1:1"/>
    <n v="1"/>
    <s v="RC"/>
    <s v="2513.22坪"/>
    <n v="2513.2199999999998"/>
    <s v="住商用"/>
    <x v="2"/>
    <s v="暫無"/>
    <s v="暫無"/>
    <s v="109桃市都建執照字第00076號"/>
    <s v="三門聯合建築師事務所"/>
    <s v="暫無"/>
    <x v="1"/>
  </r>
  <r>
    <s v="411"/>
    <s v="4.中心商業區及文青國中小生活圈"/>
    <x v="35"/>
    <s v="411 和洲金剛"/>
    <s v="fig/AiCity-939-和洲金剛.jpg"/>
    <s v="https://newhouse.591.com.tw/home/housing/detail?hid=122486&amp;v=720"/>
    <s v="25~27萬元/坪"/>
    <n v="25"/>
    <n v="27"/>
    <x v="1"/>
    <m/>
    <m/>
    <m/>
    <s v="待定"/>
    <m/>
    <m/>
    <s v="80%"/>
    <s v="銷售中"/>
    <s v="2021年第四季"/>
    <s v="2021Q4"/>
    <s v="標準配備"/>
    <s v="二房(26~30坪) 、三房(36~40坪) 、四房(47坪) 、1+1房(16坪)"/>
    <s v="預售屋"/>
    <s v="A7XLK"/>
    <s v="住宅大樓 住商用"/>
    <s v="桃園市龜山區樂善二路"/>
    <s v="桃園市龜山區文化一路、樂善路口"/>
    <s v="和洲建設股份有限公司"/>
    <x v="22"/>
    <x v="0"/>
    <s v="國城營造有限公司"/>
    <s v="君翊行銷-翊鼎國際"/>
    <s v="近捷運、明星學區、制震宅、近公園、重劃區"/>
    <s v="32%"/>
    <n v="0.32"/>
    <s v="3幢，3棟，210戶住家，11戶店面"/>
    <n v="210"/>
    <n v="11"/>
    <s v="45.54%"/>
    <n v="0.45540000000000003"/>
    <s v="地上15層，地下3~4層"/>
    <n v="15"/>
    <s v="平面式226個"/>
    <s v="待定"/>
    <s v="1:1.02"/>
    <n v="1.02"/>
    <s v="RC"/>
    <s v="1359.03坪"/>
    <n v="1359.03"/>
    <s v="住商用"/>
    <x v="4"/>
    <s v="國原保全"/>
    <s v="暫無"/>
    <s v="108桃市都建執照字第00611號等1個"/>
    <s v="拓璞聯合建築師事務所"/>
    <s v="暫無"/>
    <x v="1"/>
  </r>
  <r>
    <s v="412"/>
    <s v="4.中心商業區及文青國中小生活圈"/>
    <x v="36"/>
    <s v="412 君邑丘比特"/>
    <s v="fig/AiCity-939-邱比特.jpg"/>
    <s v="https://newhouse.591.com.tw/home/housing/detail?hid=121781&amp;"/>
    <s v="27.8~32萬元/坪"/>
    <n v="27.8"/>
    <n v="32"/>
    <x v="14"/>
    <m/>
    <m/>
    <m/>
    <s v="180~230萬"/>
    <n v="180"/>
    <n v="230"/>
    <s v="80%"/>
    <s v="銷售中"/>
    <s v="2022年上半年"/>
    <s v="2022Q2"/>
    <s v="標準配備"/>
    <s v="二房(25~28坪) 、三房(38~40坪) 、四房(47坪) 、3+1房(46坪)"/>
    <s v="預售屋"/>
    <s v="A7XLK"/>
    <s v="住宅大樓 住家用"/>
    <s v="桃園市龜山區文吉路"/>
    <s v="桃園市龜山區文桃路 "/>
    <s v="君悅建設有限公司"/>
    <x v="23"/>
    <x v="12"/>
    <s v="捷堡營造工程有限公司"/>
    <s v="捷堡營造工程有限公司"/>
    <s v="近捷運、明星學區、景觀宅、制震宅、近公園、重劃區、低首付"/>
    <s v="32.46~33.79%"/>
    <n v="0.33129999999999998"/>
    <s v="1幢，4棟，173戶住家，5戶店面"/>
    <n v="173"/>
    <n v="5"/>
    <n v="0.46150000000000002"/>
    <n v="0.46150000000000002"/>
    <s v="地上15層，地下4層"/>
    <n v="15"/>
    <s v="平面式190個"/>
    <s v="待定"/>
    <s v="1:1.07"/>
    <n v="1.07"/>
    <s v="RC"/>
    <s v="1030.74坪"/>
    <n v="1030.74"/>
    <s v="住商用"/>
    <x v="4"/>
    <s v="暫無"/>
    <s v="暫無"/>
    <s v="108桃市都建執照字第00488-01號等1個"/>
    <s v="拓璞聯合建築師事務所"/>
    <s v="暫無"/>
    <x v="1"/>
  </r>
  <r>
    <s v="413"/>
    <s v="4.中心商業區及文青國中小生活圈"/>
    <x v="37"/>
    <s v="413 頤昌璞岳"/>
    <s v="fig/AiCity-939-頤昌璞岳.jpeg"/>
    <s v="https://newhouse.591.com.tw/home/housing/detail?hid=124978"/>
    <s v="32~33 萬/坪"/>
    <n v="32"/>
    <n v="33"/>
    <x v="5"/>
    <m/>
    <m/>
    <m/>
    <s v="待定"/>
    <m/>
    <m/>
    <s v="待定"/>
    <s v="已完銷"/>
    <s v="2022年第三季度"/>
    <s v="2022Q3"/>
    <s v="標準配備"/>
    <s v="二房(27~29坪) 、 三房(36~39坪) 、 四房(45坪)"/>
    <s v="預售屋"/>
    <s v="A7XLK"/>
    <s v="住宅大樓 住家用"/>
    <s v="桃園市龜山區樂捷段253地號"/>
    <s v="桃園市龜山區文樂路、樂善一路交叉口附近 "/>
    <s v="頤昌建設股份有限公司"/>
    <x v="20"/>
    <x v="10"/>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n v="124"/>
    <n v="11"/>
    <n v="0.51349999999999996"/>
    <n v="0.51349999999999996"/>
    <s v="地上14層，地下4層"/>
    <n v="14"/>
    <s v="平面式136個"/>
    <s v="待定"/>
    <s v="1:1.01"/>
    <n v="1.01"/>
    <s v="RC"/>
    <s v="595.29坪"/>
    <n v="595.29"/>
    <s v="住商用"/>
    <x v="4"/>
    <s v="暫無"/>
    <s v="暫無"/>
    <s v="109桃市都建執照字第00379-01號"/>
    <s v="閤康聯合建築師事務所"/>
    <s v="暫無"/>
    <x v="1"/>
  </r>
  <r>
    <s v="414"/>
    <s v="4.中心商業區及文青國中小生活圈"/>
    <x v="38"/>
    <s v="414 合謙學"/>
    <s v="fig/AiCity-939-合謙學.webp"/>
    <s v="https://newhouse.591.com.tw/home/housing/detail?hid=126450"/>
    <s v="32~35 萬/坪"/>
    <n v="32"/>
    <n v="35"/>
    <x v="15"/>
    <m/>
    <m/>
    <m/>
    <s v="待定"/>
    <m/>
    <m/>
    <s v="待定"/>
    <s v="銷售中"/>
    <s v="2022年第二季度"/>
    <s v="2022Q2"/>
    <s v="標準配備"/>
    <s v="二房(25坪) 、 三房(34~37坪) 、 2+1房(26坪)"/>
    <s v="預售屋"/>
    <s v="A7XLK"/>
    <s v="住宅大樓 住家用"/>
    <s v="桃園市龜山區樂善一路與牛角坡路口"/>
    <s v="桃園市龜山區樂善一路與牛角坡路口"/>
    <s v="合謙建設股份有限公司"/>
    <x v="24"/>
    <x v="13"/>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n v="106"/>
    <n v="0"/>
    <n v="0.45660000000000001"/>
    <n v="0.45660000000000001"/>
    <s v="地上14層，地下4層"/>
    <n v="14"/>
    <s v="平面式96個"/>
    <s v="70元/坪/月"/>
    <s v="1:0.91"/>
    <n v="0.91"/>
    <s v="RC"/>
    <s v="1030.74坪"/>
    <n v="1030.74"/>
    <s v="住家用"/>
    <x v="4"/>
    <m/>
    <m/>
    <m/>
    <m/>
    <m/>
    <x v="1"/>
  </r>
  <r>
    <s v="415"/>
    <s v="4.中心商業區及文青國中小生活圈"/>
    <x v="39"/>
    <s v="415 大亮時代A7"/>
    <s v="fig/AiCity-939-大亮時代A7.jpeg"/>
    <s v="https://newhouse.591.com.tw/home/housing/detail?hid=125949"/>
    <s v="35~36 萬/坪"/>
    <n v="35"/>
    <n v="36"/>
    <x v="13"/>
    <m/>
    <m/>
    <m/>
    <s v="148~169萬"/>
    <n v="148"/>
    <n v="169"/>
    <s v="80%"/>
    <s v="銷售中"/>
    <s v="2023年第四季度"/>
    <s v="2023Q4"/>
    <s v="標準配備"/>
    <s v="二房(15.8~23.2坪) 、 三房(26.2坪)"/>
    <s v="預售屋"/>
    <s v="A7XLK"/>
    <s v="住宅大樓 住家用"/>
    <s v="桃園市龜山區善捷段166地號"/>
    <s v="桃園市龜山區文化一路、樂善二路口"/>
    <s v="大亮建築股份有限公司"/>
    <x v="25"/>
    <x v="14"/>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n v="87"/>
    <n v="3"/>
    <n v="0.50270000000000004"/>
    <n v="0.50270000000000004"/>
    <s v="地上15層，地下4層"/>
    <n v="15"/>
    <s v="平面式49個"/>
    <s v="30元/坪/月"/>
    <s v="1:0.36"/>
    <n v="0.36"/>
    <s v="RC"/>
    <s v="332.5坪"/>
    <n v="332.5"/>
    <s v="住商用"/>
    <x v="3"/>
    <m/>
    <m/>
    <s v="110桃市都建執照字第00147號"/>
    <s v="王成維建築師事務所"/>
    <s v="暫無"/>
    <x v="1"/>
  </r>
  <r>
    <s v="501"/>
    <s v="5.合宜住宅區"/>
    <x v="40"/>
    <s v="501 新未來1"/>
    <s v="fig/AiCity-939-新未來1.jpg"/>
    <s v="https://newhouse.591.com.tw/home/housing/detail?hid=113056"/>
    <s v="33~38萬元/坪"/>
    <n v="33"/>
    <n v="38"/>
    <x v="13"/>
    <s v="A7 遠雄新未來1 幸福住戶討論區"/>
    <s v="https://www.facebook.com/groups/254570162464632"/>
    <m/>
    <m/>
    <m/>
    <m/>
    <s v="80%"/>
    <s v="已完銷"/>
    <s v="2021年下半年"/>
    <s v="2021Q4"/>
    <s v="標準配備"/>
    <s v="二房(28~32坪) 、三房(42~50坪)"/>
    <s v="預售屋"/>
    <s v="A7XLK"/>
    <s v="住宅大樓 住商用"/>
    <s v="桃園市龜山區樂善一路10號 "/>
    <s v="桃園市龜山區樂善一路10號 "/>
    <s v="遠雄建設事業股份有限公司"/>
    <x v="21"/>
    <x v="11"/>
    <s v="遠雄營造"/>
    <s v="遠雄房地產"/>
    <s v="近捷運、景觀宅、近公園、重劃區、低首付"/>
    <n v="0.33"/>
    <n v="0.33"/>
    <s v="3棟，807戶住家，14戶店面，3個商場"/>
    <n v="807"/>
    <n v="14"/>
    <n v="0.57020000000000004"/>
    <n v="0.57020000000000004"/>
    <s v="地上28層，地下5層"/>
    <n v="28"/>
    <s v="平面式648個、機械式84個"/>
    <s v="60元/坪/月"/>
    <s v="1:0.89"/>
    <n v="0.89"/>
    <s v="RC"/>
    <s v="2890坪"/>
    <n v="2890"/>
    <s v="住商用"/>
    <x v="3"/>
    <s v="暫無"/>
    <s v="暫無"/>
    <s v="(106)桃市都建執照字第會龜00035號"/>
    <s v="原大聯合建築師事務所"/>
    <s v="暫無"/>
    <x v="3"/>
  </r>
  <r>
    <s v="502"/>
    <s v="5.合宜住宅區"/>
    <x v="41"/>
    <s v="502 富宇天匯"/>
    <s v="fig/AiCity-939-富宇天匯.jpg"/>
    <s v="https://newhouse.591.com.tw/home/housing/detail?hid=121159&amp;v=720"/>
    <s v="39~43萬元/坪"/>
    <n v="39"/>
    <n v="43"/>
    <x v="16"/>
    <m/>
    <m/>
    <m/>
    <s v="160~205萬"/>
    <n v="160"/>
    <n v="205"/>
    <s v="80%"/>
    <s v="銷售中"/>
    <s v="2023年第二季度"/>
    <s v="2023Q2"/>
    <s v="標準配備"/>
    <s v="二房(20.86坪) 、三房(34~38坪) 、2+1房(27~28坪) 、3+1房(40、41坪)"/>
    <s v="預售屋"/>
    <s v="A7XLK"/>
    <s v="住宅大樓 住商用"/>
    <s v="桃園市龜山區善捷段287地號"/>
    <s v="桃園縣龜山鄉文化一路、文青路旁"/>
    <s v="富宇建設股份有限公司"/>
    <x v="4"/>
    <x v="1"/>
    <s v="盛傑營造有限公司"/>
    <s v="華昱廣告"/>
    <s v="近捷運、景觀宅、近公園、重劃區、低首付"/>
    <n v="0.33500000000000002"/>
    <n v="0.33500000000000002"/>
    <s v="2幢，4棟，266戶住家，4戶店面"/>
    <n v="266"/>
    <n v="4"/>
    <n v="0.49540000000000001"/>
    <n v="0.49540000000000001"/>
    <s v="地上15層，地下4層"/>
    <n v="15"/>
    <s v="平面式260個、機械式18個"/>
    <s v="70元/坪/月"/>
    <s v="1:1.03"/>
    <n v="1.03"/>
    <s v="RC"/>
    <s v="1471.38坪"/>
    <n v="1471.38"/>
    <s v="住商用"/>
    <x v="4"/>
    <s v="暫無"/>
    <s v="暫無"/>
    <s v="108桃市都建執照字第01027號"/>
    <s v="徐瑞燦建築師事務所"/>
    <s v="暫無"/>
    <x v="3"/>
  </r>
  <r>
    <s v="503"/>
    <s v="5.合宜住宅區"/>
    <x v="42"/>
    <s v="503 竹城明治"/>
    <s v="fig/AiCity-939-竹城明治.jpg"/>
    <s v="https://newhouse.591.com.tw/home/housing/detail?hid=120762"/>
    <s v="28~30萬元/坪"/>
    <n v="28"/>
    <n v="30"/>
    <x v="17"/>
    <m/>
    <m/>
    <m/>
    <m/>
    <m/>
    <m/>
    <s v="80%"/>
    <s v="銷售中"/>
    <s v="隨時交屋"/>
    <s v="2021Q2"/>
    <s v="標準配備"/>
    <s v="二房(25~28坪) 、三房(34~40坪) 、四房(43坪)"/>
    <s v="新成屋"/>
    <s v="A7XLK"/>
    <s v="住宅大樓 住商用"/>
    <s v="桃園市龜山區文青路363號對面"/>
    <s v="桃園市龜山區文青路378號"/>
    <s v="竹城建設股份有限公司"/>
    <x v="16"/>
    <x v="8"/>
    <s v="大裕營造有限公司"/>
    <s v="自建自售"/>
    <s v="近捷運、近公園、重劃區"/>
    <n v="0.32"/>
    <n v="0.32"/>
    <s v="1幢，6棟，168戶住家，5戶店面"/>
    <n v="168"/>
    <n v="5"/>
    <s v="45.56%"/>
    <n v="0.4556"/>
    <s v="地上13層，地下3層"/>
    <n v="13"/>
    <s v="平面式81個、機械式68個"/>
    <s v="待定"/>
    <s v="1:0.86"/>
    <n v="0.86"/>
    <s v="RC"/>
    <s v="961.25坪"/>
    <n v="961.25"/>
    <s v="住商用"/>
    <x v="4"/>
    <s v="暫無"/>
    <s v="暫無"/>
    <s v="(107)桃市都建執照字第會龜00995-01號等1個"/>
    <s v="徐瑞燦建築師事務所"/>
    <s v="109桃市都施使字第龜00492號"/>
    <x v="3"/>
  </r>
  <r>
    <s v="504"/>
    <s v="5.合宜住宅區"/>
    <x v="43"/>
    <s v="504 竹城宇治"/>
    <s v="fig/AiCity-939-竹城宇治.jpg"/>
    <s v="https://newhouse.591.com.tw/home/housing/detail?hid=115863"/>
    <s v="30 萬/坪 "/>
    <n v="30"/>
    <n v="30"/>
    <x v="10"/>
    <m/>
    <m/>
    <m/>
    <s v="170~185萬"/>
    <n v="170"/>
    <n v="185"/>
    <s v="80%"/>
    <s v="已完銷"/>
    <s v="隨時交屋"/>
    <s v="2021Q2"/>
    <s v="標準配備"/>
    <s v="二房(25坪) 、 三房(38坪) 、 2+1房(28坪)"/>
    <s v="新成屋"/>
    <s v="A7XLK"/>
    <s v="住宅大樓 住商用"/>
    <s v="桃園市龜山區文青路378號"/>
    <s v="桃園市龜山區文青路378號"/>
    <s v="竹城機構-仲城建設股份有限公司"/>
    <x v="16"/>
    <x v="8"/>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n v="103"/>
    <n v="6"/>
    <n v="0.45700000000000002"/>
    <n v="0.45700000000000002"/>
    <s v="地上13層，地下3層"/>
    <n v="13"/>
    <s v="平面式82個"/>
    <s v="80元/坪/月"/>
    <s v="1:0.75"/>
    <n v="0.75"/>
    <s v="RC"/>
    <s v="638.13坪"/>
    <n v="638.13"/>
    <s v="住商用"/>
    <x v="4"/>
    <m/>
    <m/>
    <s v="(106)桃市都建執照字第會龜01145 號等2個"/>
    <s v="徐瑞燦建築師事務所"/>
    <s v="(108)桃市都施使字第龜00515號"/>
    <x v="3"/>
  </r>
  <r>
    <s v="505"/>
    <s v="5.合宜住宅區"/>
    <x v="44"/>
    <s v="505 櫻花澍"/>
    <s v="fig/AiCity-939-櫻花澍.webp"/>
    <s v="https://newhouse.591.com.tw/home/housing/detail?hid=124447"/>
    <s v="28~32 萬/坪"/>
    <n v="28"/>
    <n v="32"/>
    <x v="10"/>
    <s v="A7櫻花澍已購戶討論區"/>
    <s v="https://www.facebook.com/groups/1271297159886163"/>
    <m/>
    <s v="165~195萬"/>
    <n v="165"/>
    <n v="195"/>
    <s v="80%"/>
    <s v="已完銷"/>
    <s v="2021年第四季度"/>
    <s v="2021Q4"/>
    <s v="標準配備"/>
    <s v="二房(25坪) 、 三房(35坪)"/>
    <s v="預售屋"/>
    <s v="A7XLK"/>
    <s v="住宅大樓 住商用"/>
    <s v="桃園市龜山區文青二路"/>
    <s v="桃園市龜山區文青路179號1F "/>
    <s v="櫻花建設股份有限公司"/>
    <x v="26"/>
    <x v="15"/>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n v="106"/>
    <n v="2"/>
    <n v="0.38140000000000002"/>
    <n v="0.38140000000000002"/>
    <s v="地上14層，地下4層"/>
    <n v="14"/>
    <s v="平面式108個"/>
    <s v="65元/坪/月"/>
    <s v="1:1"/>
    <n v="1"/>
    <s v="RC"/>
    <s v="602.07坪"/>
    <n v="602.07000000000005"/>
    <s v="住商用"/>
    <x v="4"/>
    <m/>
    <s v="暫無"/>
    <s v="108桃市都建執照字第00713-01號"/>
    <s v="張建鴻建築師事務所"/>
    <s v="暫無"/>
    <x v="3"/>
  </r>
  <r>
    <s v="506"/>
    <s v="5.合宜住宅區"/>
    <x v="45"/>
    <s v="506 遠雄文青"/>
    <s v="fig/AiCity-939-遠雄文青.jpg"/>
    <s v="https://www.farglory-land.com.tw/leasehold/%E9%81%A0%E9%9B%84%E6%99%82%E4%BB%A3%E7%B8%BD%E9%83%A8-2/"/>
    <s v="2021/8:22.7萬元/坪"/>
    <n v="15"/>
    <n v="15"/>
    <x v="18"/>
    <s v="A7 遠雄文青 住戶討論區"/>
    <s v="https://www.facebook.com/groups/675455015969962"/>
    <m/>
    <m/>
    <m/>
    <m/>
    <s v="80%"/>
    <s v="已完銷"/>
    <s v="隨時交屋"/>
    <s v="2021Q2"/>
    <s v="標準配備"/>
    <m/>
    <s v="新成屋"/>
    <s v="A7XLK"/>
    <s v="住宅大樓 住商用"/>
    <s v="桃園市龜山區文青路179號"/>
    <s v="桃園市龜山區文青路179號"/>
    <m/>
    <x v="21"/>
    <x v="11"/>
    <m/>
    <m/>
    <m/>
    <m/>
    <m/>
    <m/>
    <n v="1272"/>
    <m/>
    <m/>
    <m/>
    <m/>
    <m/>
    <m/>
    <m/>
    <m/>
    <m/>
    <s v="RC"/>
    <m/>
    <m/>
    <s v="住商用"/>
    <x v="4"/>
    <m/>
    <m/>
    <m/>
    <m/>
    <m/>
    <x v="3"/>
  </r>
  <r>
    <s v="507"/>
    <s v="5.合宜住宅區"/>
    <x v="46"/>
    <s v="507 皇翔歡喜城"/>
    <s v="fig/AiCity-939-皇翔歡喜城.jpg"/>
    <s v="https://www.uppercity.tw/"/>
    <s v="2021/8:20.0萬元/坪"/>
    <n v="15"/>
    <n v="15"/>
    <x v="18"/>
    <s v="A7皇翔歡喜城"/>
    <s v="https://www.facebook.com/groups/521969711190884"/>
    <m/>
    <m/>
    <m/>
    <m/>
    <s v="80%"/>
    <s v="已完銷"/>
    <s v="隨時交屋"/>
    <s v="2021Q2"/>
    <s v="標準配備"/>
    <m/>
    <s v="新成屋"/>
    <s v="A7XLK"/>
    <s v="住宅大樓 住商用"/>
    <s v="園市龜山區文青二路9-11號"/>
    <m/>
    <m/>
    <x v="27"/>
    <x v="16"/>
    <m/>
    <m/>
    <m/>
    <m/>
    <m/>
    <m/>
    <n v="1780"/>
    <m/>
    <m/>
    <m/>
    <m/>
    <m/>
    <m/>
    <m/>
    <m/>
    <m/>
    <s v="RC"/>
    <m/>
    <m/>
    <s v="住商用"/>
    <x v="4"/>
    <m/>
    <m/>
    <m/>
    <m/>
    <m/>
    <x v="3"/>
  </r>
  <r>
    <s v="508"/>
    <s v="5.合宜住宅區"/>
    <x v="47"/>
    <s v="508 名軒快樂家"/>
    <s v="fig/AiCity-939-名軒快樂家.jpg"/>
    <s v="https://www.advancetek.com.tw/%E7%86%B1%E9%8A%B7%E5%80%8B%E6%A1%88/%E5%90%8D%E8%BB%92%E5%BF%AB%E6%A8%82%E5%AE%B6%E5%90%88%E5%AE%9C%E4%BD%8F%E5%AE%85a7_c%E5%9F%BA%E5%9C%B0/"/>
    <s v="2021/8:21.7萬元/坪"/>
    <n v="15"/>
    <n v="15"/>
    <x v="18"/>
    <s v="名軒快樂家-住戶專區"/>
    <s v="https://www.facebook.com/groups/671624019658641"/>
    <m/>
    <m/>
    <m/>
    <m/>
    <s v="80%"/>
    <s v="已完銷"/>
    <s v="隨時交屋"/>
    <s v="2021Q2"/>
    <s v="標準配備"/>
    <m/>
    <s v="新成屋"/>
    <s v="A7XLK"/>
    <s v="住宅大樓 住商用"/>
    <s v="桃園市龜山區文學路237-247號號"/>
    <m/>
    <m/>
    <x v="28"/>
    <x v="17"/>
    <m/>
    <m/>
    <m/>
    <m/>
    <m/>
    <m/>
    <n v="514"/>
    <m/>
    <m/>
    <m/>
    <m/>
    <m/>
    <m/>
    <m/>
    <m/>
    <m/>
    <s v="RC"/>
    <m/>
    <m/>
    <s v="住商用"/>
    <x v="4"/>
    <m/>
    <m/>
    <m/>
    <m/>
    <m/>
    <x v="3"/>
  </r>
  <r>
    <s v="509"/>
    <s v="5.合宜住宅區"/>
    <x v="48"/>
    <s v="509 麗寶快樂家"/>
    <s v="fig/AiCity-939-麗寶快樂家.jpg"/>
    <s v="http://lihpao.com.tw/appropriate/build.html"/>
    <s v="2021/8:21.0萬元/坪"/>
    <n v="15"/>
    <n v="15"/>
    <x v="18"/>
    <s v="A7 麗寶快樂家社區~住戶專區"/>
    <s v="https://www.facebook.com/groups/A7happyhome"/>
    <m/>
    <m/>
    <m/>
    <m/>
    <s v="80%"/>
    <s v="已完銷"/>
    <s v="隨時交屋"/>
    <s v="2021Q2"/>
    <s v="標準配備"/>
    <m/>
    <s v="新成屋"/>
    <s v="A7XLK"/>
    <s v="住宅大樓 住商用"/>
    <s v="桃園市龜山區文青一路12號"/>
    <m/>
    <m/>
    <x v="29"/>
    <x v="18"/>
    <m/>
    <m/>
    <m/>
    <m/>
    <m/>
    <m/>
    <n v="897"/>
    <m/>
    <m/>
    <m/>
    <m/>
    <m/>
    <m/>
    <m/>
    <m/>
    <m/>
    <s v="RC"/>
    <m/>
    <m/>
    <s v="住商用"/>
    <x v="4"/>
    <m/>
    <m/>
    <m/>
    <m/>
    <m/>
    <x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101"/>
    <x v="0"/>
    <s v="和發大境"/>
    <x v="0"/>
    <s v="fig/AiCity-939-和發大境.jpg"/>
    <s v="https://newhouse.591.com.tw/home/housing/detail?hid=125726"/>
    <s v="28~29 萬/坪"/>
    <x v="0"/>
    <n v="29"/>
    <x v="0"/>
    <m/>
    <m/>
    <m/>
    <s v="170~205萬"/>
    <n v="170"/>
    <n v="205"/>
    <n v="0.8"/>
    <s v="銷售中"/>
    <s v="2022年下半年"/>
    <x v="0"/>
    <s v="標準配備"/>
    <s v="二房(26~28坪) 、三房(39~40坪) 、四房(44坪) 、2+1房(33坪)"/>
    <s v="預售屋"/>
    <s v="A7XLK"/>
    <s v="住宅大樓 住商用"/>
    <s v="桃園市龜山區長慶三街"/>
    <s v="桃園市龜山區文化一路123號 "/>
    <s v="和發建設股份有限公司"/>
    <x v="0"/>
    <s v="寶佳集團"/>
    <s v="國城營造有限公司"/>
    <s v="五十甲廣告股份有限公司"/>
    <s v="近捷運、景觀宅、制震宅、近公園、重劃區、低首付"/>
    <n v="0.33"/>
    <n v="0.33"/>
    <s v="3幢，8棟，280戶住家，12戶店面"/>
    <x v="0"/>
    <n v="12"/>
    <n v="0.40899999999999997"/>
    <n v="0.40899999999999997"/>
    <s v="地上15層，地下4層"/>
    <x v="0"/>
    <s v="平面式318個"/>
    <s v="待定"/>
    <s v="1:1.09"/>
    <x v="0"/>
    <s v="RC"/>
    <s v="1586.57坪"/>
    <x v="0"/>
    <s v="住商用"/>
    <x v="0"/>
    <s v="暫無"/>
    <s v="暫無"/>
    <s v="108桃市都建執照字第00546-01號"/>
    <s v="拓璞聯合建築師事務所(聶玉璞)"/>
    <s v="暫無"/>
  </r>
  <r>
    <s v="102"/>
    <x v="0"/>
    <s v="鴻典"/>
    <x v="1"/>
    <s v="fig/AiCity-939-鴻典.jpg"/>
    <s v="https://newhouse.591.com.tw/home/housing/detail?hid=122584&amp;v=720"/>
    <s v="26萬元/坪"/>
    <x v="1"/>
    <n v="26"/>
    <x v="1"/>
    <m/>
    <m/>
    <m/>
    <s v="180~210萬"/>
    <n v="180"/>
    <n v="210"/>
    <s v="80%"/>
    <s v="銷售中"/>
    <s v="2022年第一季"/>
    <x v="1"/>
    <s v="標準配備"/>
    <s v="二房(24-28坪)、三房(33-38坪)、4房(42坪)"/>
    <s v="預售屋"/>
    <s v="A7XLK"/>
    <s v="住宅大樓 住商用"/>
    <s v="桃園市龜山區長慶三街"/>
    <s v="桃園市龜山區長慶三街"/>
    <s v="鴻築建設股份有限公司"/>
    <x v="1"/>
    <s v="寶佳集團"/>
    <s v="國城營造有限公司"/>
    <s v="商雋實業有限公司"/>
    <s v="景觀宅、制震宅、近公園、重劃區、低首付"/>
    <s v="32%"/>
    <n v="0.32"/>
    <s v="1幢，2棟，196戶住家，11戶店面"/>
    <x v="1"/>
    <n v="11"/>
    <s v="39.8%"/>
    <n v="0.39800000000000002"/>
    <s v="地上15層，地下3層"/>
    <x v="0"/>
    <s v="平面式214個"/>
    <s v="60元/坪/月"/>
    <s v="1:1.03"/>
    <x v="1"/>
    <s v="RC"/>
    <s v="1062.93坪"/>
    <x v="1"/>
    <s v="住商用"/>
    <x v="0"/>
    <s v="暫無"/>
    <s v="暫無"/>
    <s v="107桃市都建執照字第01412-01號等1個"/>
    <s v="拓璞聯合建築師事務所"/>
    <s v="暫無"/>
  </r>
  <r>
    <s v="103"/>
    <x v="0"/>
    <s v="樂捷市"/>
    <x v="2"/>
    <s v="fig/AiCity-939-樂捷市.jpeg"/>
    <s v="https://newhouse.591.com.tw/home/housing/detail?hid=116751&amp;v=720"/>
    <s v="26萬元/坪"/>
    <x v="1"/>
    <n v="26"/>
    <x v="1"/>
    <s v="樂捷市好鄰居"/>
    <s v="https://www.facebook.com/groups/324107612343329"/>
    <m/>
    <s v="150~195萬"/>
    <n v="150"/>
    <n v="195"/>
    <s v="85%"/>
    <s v="銷售中"/>
    <s v="隨時交屋"/>
    <x v="2"/>
    <s v="標準配備"/>
    <s v="二房(26坪)、三房(38坪)、1+1房(25坪)、3+1房(44坪)"/>
    <s v="新成屋"/>
    <s v="A7XLK"/>
    <s v="住宅大樓/住商用"/>
    <s v="桃園市龜山區長慶三街18號"/>
    <s v="桃園市龜山區長慶三街18號1樓"/>
    <s v="鴻築建設股份有限公司"/>
    <x v="1"/>
    <s v="寶佳集團"/>
    <s v="國城營造有限公司"/>
    <s v="商雋實業有限公司"/>
    <s v="近捷運、明星學區、制震宅、近公園、重劃區"/>
    <s v="31.5%"/>
    <n v="0.315"/>
    <s v="1幢，8棟，326戶住家，20戶店面"/>
    <x v="2"/>
    <n v="20"/>
    <s v="49.56%"/>
    <n v="0.49559999999999998"/>
    <s v="地上15層，地下3層"/>
    <x v="0"/>
    <s v="平面式285個、機械式61個"/>
    <s v="待定"/>
    <s v="1:1"/>
    <x v="2"/>
    <s v="RC"/>
    <s v="1848.44坪"/>
    <x v="2"/>
    <s v="住商用"/>
    <x v="0"/>
    <s v="暫無"/>
    <s v="暫無"/>
    <s v="（106)桃市都建執照字第00372號等1個"/>
    <s v="聶玉璞"/>
    <s v="暫無"/>
  </r>
  <r>
    <s v="104"/>
    <x v="0"/>
    <s v="奇幻莊園"/>
    <x v="3"/>
    <s v="fig/AiCity-939-奇幻莊園.jpg"/>
    <s v="https://newhouse.591.com.tw/home/housing/detail?hid=116476&amp;v=720"/>
    <s v="24.5~25.5萬元/坪"/>
    <x v="2"/>
    <n v="25.5"/>
    <x v="2"/>
    <s v="龜山A7-奇幻莊園住戶"/>
    <s v="https://www.facebook.com/groups/588376114975687"/>
    <m/>
    <s v="160~220萬"/>
    <n v="160"/>
    <n v="220"/>
    <s v="80%"/>
    <s v="銷售中"/>
    <s v="隨時交屋"/>
    <x v="2"/>
    <s v="標準配備"/>
    <s v="二房(25~27坪)、三房(34-38坪)"/>
    <s v="新成屋"/>
    <s v="A7XLK"/>
    <s v="住宅大樓 住商用"/>
    <s v="桃園市龜山區長慶二街"/>
    <s v="桃園市龜山區長慶二街"/>
    <s v="佳晟建設股份有限公司"/>
    <x v="2"/>
    <s v="寶佳集團"/>
    <s v="萬代營造有限公司"/>
    <s v="商雋實業有限公司"/>
    <s v="近捷運、近公園、重劃區"/>
    <s v="32%"/>
    <n v="0.32"/>
    <s v="1幢，3棟，173戶住家，11戶店面"/>
    <x v="3"/>
    <n v="11"/>
    <s v="48.26%"/>
    <n v="0.48259999999999997"/>
    <s v="地上13,14層，地下4層"/>
    <x v="1"/>
    <s v="平面式181個、機械式61個"/>
    <s v="55元/坪/月"/>
    <s v="1:0.98"/>
    <x v="3"/>
    <s v="RC"/>
    <s v="954.46坪"/>
    <x v="3"/>
    <s v="住商用"/>
    <x v="0"/>
    <s v="暫無"/>
    <s v="暫無"/>
    <s v="106桃市都建執照字第01160-01號"/>
    <s v="林大俊建築師事務所"/>
    <s v="暫無"/>
  </r>
  <r>
    <s v="105"/>
    <x v="0"/>
    <s v="樂田田"/>
    <x v="4"/>
    <s v="fig/AiCity-939-樂甜甜.jpg"/>
    <s v="https://newhouse.591.com.tw/home/housing/detail?hid=121200&amp;v=720"/>
    <s v="25~26 萬/坪"/>
    <x v="3"/>
    <n v="26"/>
    <x v="3"/>
    <m/>
    <m/>
    <m/>
    <s v="190~230萬"/>
    <n v="190"/>
    <n v="230"/>
    <n v="0.8"/>
    <s v="銷售中"/>
    <s v="2021年第三季度"/>
    <x v="3"/>
    <s v="標準配備"/>
    <s v="二房(23坪) 、2+1房(29坪)"/>
    <s v="預售屋"/>
    <s v="A7XLK"/>
    <s v="住宅大樓 住商用"/>
    <s v="桃園市龜山區長慶二街與長慶三街 "/>
    <s v="桃園市龜山區文化一路旁 "/>
    <s v="佳晟建設股份有限公司"/>
    <x v="2"/>
    <s v="寶佳集團"/>
    <s v="萬代福營造有限公司"/>
    <s v="群旺廣告有限公司"/>
    <s v="景觀宅、重劃區"/>
    <n v="0.32600000000000001"/>
    <n v="0.32600000000000001"/>
    <s v="2幢，4棟，187戶住家，12戶店面"/>
    <x v="4"/>
    <n v="12"/>
    <n v="0.44269999999999998"/>
    <n v="0.44269999999999998"/>
    <s v="地上13、14層，地下4層"/>
    <x v="1"/>
    <s v="平面式173個"/>
    <s v="55元/坪/月"/>
    <s v="1:0.87"/>
    <x v="4"/>
    <s v="RC"/>
    <s v="907.61坪"/>
    <x v="4"/>
    <s v="住商用"/>
    <x v="0"/>
    <s v="暫無"/>
    <s v="暫無"/>
    <s v="108桃市都建執照字第00290-01號"/>
    <s v="林大俊建築師事務所"/>
    <s v="暫無"/>
  </r>
  <r>
    <s v="106"/>
    <x v="0"/>
    <s v="玉子園"/>
    <x v="5"/>
    <s v="fig/AiCity-939-玉子園.jpg"/>
    <s v="https://newhouse.591.com.tw/home/housing/detail?hid=119531&amp;v=720"/>
    <s v="26~28萬元/坪"/>
    <x v="1"/>
    <n v="28"/>
    <x v="4"/>
    <m/>
    <m/>
    <m/>
    <s v="130~205萬"/>
    <n v="130"/>
    <n v="205"/>
    <s v="80%"/>
    <s v="銷售中"/>
    <s v="2021年第四季"/>
    <x v="4"/>
    <s v="標準配備"/>
    <s v="二房(24~27坪)、三房(36~43坪)"/>
    <s v="預售屋"/>
    <s v="A7XLK"/>
    <s v="住宅大樓 住商用"/>
    <s v="桃園市龜山區樂捷段地號136, 140"/>
    <s v="桃園市龜山區文化一路與華亞三路交口"/>
    <s v="協勝建設股份有限公司"/>
    <x v="3"/>
    <s v="寶佳集團"/>
    <s v="洛城營造有限公司"/>
    <s v="漢乙廣告有限公司"/>
    <s v="明星學區、景觀宅、低首付"/>
    <s v="31~32%"/>
    <n v="0.315"/>
    <s v="5棟，186戶住家，7戶店面"/>
    <x v="5"/>
    <n v="7"/>
    <s v="44.23%"/>
    <n v="0.44230000000000003"/>
    <s v="地上15層，地下3層"/>
    <x v="0"/>
    <s v="平面式178個、機械式14個"/>
    <s v="待定"/>
    <s v="1:0.99"/>
    <x v="5"/>
    <s v="RC"/>
    <s v="1042.98坪"/>
    <x v="5"/>
    <s v="住商用"/>
    <x v="0"/>
    <s v="暫無"/>
    <s v="暫無"/>
    <s v="(106)桃市都建執照字第會龜00880-01號等1個"/>
    <s v="拓璞聯合建築師事務所"/>
    <s v="暫無"/>
  </r>
  <r>
    <s v="107"/>
    <x v="0"/>
    <s v="台北國際村"/>
    <x v="6"/>
    <s v="fig/AiCity-939-台北國際村.jpg"/>
    <s v="https://newhouse.591.com.tw/home/housing/detail?hid=118714&amp;v=720"/>
    <s v="25~26萬元/坪"/>
    <x v="3"/>
    <n v="26"/>
    <x v="3"/>
    <s v="台北國際村住戶交流園區_林口A7"/>
    <s v="https://www.facebook.com/groups/2397202740545114"/>
    <m/>
    <s v="160~195萬"/>
    <n v="160"/>
    <n v="195"/>
    <s v="80%"/>
    <s v="銷售中"/>
    <s v="2021年第一季"/>
    <x v="2"/>
    <s v="標準配備"/>
    <s v="二房(26~28坪)、三房(33~38坪)"/>
    <s v="預售屋"/>
    <s v="A7XLK"/>
    <s v="住宅大樓 住商用"/>
    <s v="桃園市龜山區樂安街71號"/>
    <s v="桃園市龜山區文化一路，文樂路交叉口"/>
    <s v="和發建設股份有限公司"/>
    <x v="0"/>
    <s v="寶佳集團"/>
    <s v="國城營造有限公司"/>
    <s v="五十甲廣告股份有限公司"/>
    <s v="近捷運、明星學區、制震宅、近公園、重劃區"/>
    <s v="31~32%"/>
    <n v="0.315"/>
    <s v="4棟，198戶住家，8戶店面"/>
    <x v="6"/>
    <n v="8"/>
    <s v="45.67%"/>
    <n v="0.45669999999999999"/>
    <s v="地上15層，地下4層"/>
    <x v="0"/>
    <s v="平面式206個"/>
    <s v="待定"/>
    <s v="1:1"/>
    <x v="2"/>
    <s v="RC"/>
    <s v="1054.47坪"/>
    <x v="6"/>
    <s v="住商用"/>
    <x v="0"/>
    <s v="暫無"/>
    <s v="暫無"/>
    <s v="(107)桃市都建執照字第會龜01092-01號等1個"/>
    <s v="拓璞聯合建築師事務所"/>
    <s v="暫無"/>
  </r>
  <r>
    <s v="201"/>
    <x v="1"/>
    <s v="富宇上城"/>
    <x v="7"/>
    <s v="fig/AiCity-939-富宇上城.jpg"/>
    <s v="https://newhouse.591.com.tw/home/housing/detail?hid=121156&amp;v=720"/>
    <s v="30~35萬元/坪"/>
    <x v="4"/>
    <n v="35"/>
    <x v="5"/>
    <m/>
    <m/>
    <m/>
    <s v="170~205萬"/>
    <n v="170"/>
    <n v="205"/>
    <s v="80%"/>
    <s v="銷售中"/>
    <s v="2023年第一季"/>
    <x v="5"/>
    <s v="標準配備"/>
    <s v="二房(24坪) 、三房(31~39坪) 、四房(45坪) 、2+1房(28坪) 、3+1房(41坪)"/>
    <s v="預售屋"/>
    <s v="A7XLK"/>
    <s v="住宅大樓 住商用"/>
    <s v="桃園市龜山區樂捷段56地號"/>
    <s v="桃園縣龜山鄉文化一路"/>
    <s v="富宇建設股份有限公司"/>
    <x v="4"/>
    <s v="富宇建設"/>
    <s v="盛傑營造有限公司"/>
    <s v="華昱廣告有限公司"/>
    <s v="華昱廣告"/>
    <s v="33.5%"/>
    <n v="0.33500000000000002"/>
    <s v="4幢，6棟，832戶住家"/>
    <x v="7"/>
    <n v="0"/>
    <s v="31.07%"/>
    <n v="0.31069999999999998"/>
    <s v="地上24層，地下4層"/>
    <x v="2"/>
    <s v="平面式933個"/>
    <s v="75元/坪/月"/>
    <s v="1:1.12"/>
    <x v="6"/>
    <s v="RC"/>
    <s v="4046.9坪"/>
    <x v="7"/>
    <s v="住商用"/>
    <x v="1"/>
    <s v="暫無"/>
    <s v="暫無"/>
    <s v="(107)桃市都建執照字第會龜00519-01號等1個"/>
    <s v="吳六合建築師事務所"/>
    <s v="暫無"/>
  </r>
  <r>
    <s v="202"/>
    <x v="1"/>
    <s v="禾悅花園"/>
    <x v="8"/>
    <s v="fig/AiCity-939-禾悅花園.jpg"/>
    <s v="https://newhouse.591.com.tw/home/housing/detail?hid=122734&amp;v=720"/>
    <s v="28~29萬元/坪"/>
    <x v="0"/>
    <n v="29"/>
    <x v="0"/>
    <m/>
    <m/>
    <m/>
    <s v="130~200萬"/>
    <n v="130"/>
    <n v="200"/>
    <s v="80%"/>
    <s v="銷售中"/>
    <s v="2024年第二季"/>
    <x v="6"/>
    <s v="標準配備"/>
    <s v="二房(22~23坪) 、三房(30~37坪) 、四房(46~47坪)"/>
    <s v="預售屋"/>
    <s v="A7XLK"/>
    <s v="住宅大樓 住商用"/>
    <s v="桃園市龜山區文禾路、文達路及樂學路口"/>
    <s v="桃園市龜山區文桃路及文茂路口"/>
    <s v="禾聯股份有限公司"/>
    <x v="5"/>
    <s v="禾聯建築"/>
    <s v="禾華營造股份有限公司(甲級)"/>
    <s v="海悅國際開發股份有限公司司"/>
    <s v="明星學區、景觀宅、近公園、低首付"/>
    <s v="33.5%"/>
    <n v="0.33500000000000002"/>
    <s v="1幢，13棟，1044戶住家"/>
    <x v="8"/>
    <n v="0"/>
    <s v="52.94%"/>
    <n v="0.52939999999999998"/>
    <s v="地上14~15層，地下4層"/>
    <x v="0"/>
    <s v="平面式1068個"/>
    <s v="65元/坪/月"/>
    <s v="1:1.02"/>
    <x v="7"/>
    <s v="RC"/>
    <s v="4720.89坪"/>
    <x v="8"/>
    <s v="住商用"/>
    <x v="1"/>
    <s v="暫無"/>
    <s v="暫無"/>
    <s v="109桃市都建執照字第00083號等1個"/>
    <s v="廖錦盈建築師事務所"/>
    <s v="暫無"/>
  </r>
  <r>
    <s v="203"/>
    <x v="1"/>
    <s v="耀台北"/>
    <x v="9"/>
    <s v="fig/AiCity-939-耀台北.jpg"/>
    <s v="https://newhouse.591.com.tw/home/housing/detail?hid=118336&amp;v=720"/>
    <s v="26~28萬元/坪"/>
    <x v="1"/>
    <n v="28"/>
    <x v="4"/>
    <m/>
    <m/>
    <m/>
    <s v="170~195萬"/>
    <n v="170"/>
    <n v="195"/>
    <s v="85%"/>
    <s v="銷售中"/>
    <s v="隨時交屋"/>
    <x v="2"/>
    <s v="標準配備"/>
    <s v="二房(26-29坪)、三房(39~40坪)、4房(44坪)"/>
    <s v="預售屋"/>
    <s v="A7XLK"/>
    <s v="住宅大樓 住商用"/>
    <s v="桃園市龜山區樂捷段地號 184"/>
    <s v="桃園市龜山區文化一路103號"/>
    <s v="和耀建設股份有限公司"/>
    <x v="6"/>
    <s v="寶佳集團"/>
    <s v="國城營造有限公司"/>
    <s v="漢乙廣告有限公司"/>
    <s v="近捷運、明星學區、景觀宅、近公園、重劃區、低首付"/>
    <s v="31.5%"/>
    <n v="0.315"/>
    <s v="5棟，199戶住家，2戶店面"/>
    <x v="9"/>
    <n v="2"/>
    <s v="46.14%"/>
    <n v="0.46139999999999998"/>
    <s v="地上15層，地下4層"/>
    <x v="0"/>
    <s v="平面式139個、機械式65個"/>
    <s v="待定"/>
    <s v="1:1.01"/>
    <x v="8"/>
    <s v="RC"/>
    <s v="909.91坪"/>
    <x v="9"/>
    <s v="住商用"/>
    <x v="0"/>
    <s v="暫無"/>
    <s v="暫無"/>
    <s v="(107)桃市都建執照字第會龜00614號等1個"/>
    <s v="拓璞聯合建築師事務所"/>
    <s v="暫無"/>
  </r>
  <r>
    <s v="204"/>
    <x v="1"/>
    <s v="皇普MVP"/>
    <x v="10"/>
    <s v="fig/AiCity-939-皇普MVP.jpg"/>
    <s v="https://newhouse.591.com.tw/home/housing/detail?hid=118186"/>
    <s v="25~26萬元/坪"/>
    <x v="3"/>
    <n v="26"/>
    <x v="3"/>
    <s v="A7皇普MVP屋主交流團"/>
    <s v="https://www.facebook.com/groups/800873736965340"/>
    <m/>
    <m/>
    <m/>
    <m/>
    <n v="0.8"/>
    <s v="銷售中"/>
    <s v="2021年10月"/>
    <x v="4"/>
    <s v="標準配備"/>
    <s v="二房(26~29坪) 、三房(37~40坪)"/>
    <s v="預售屋"/>
    <s v="A7XLK"/>
    <s v="住宅大樓 住商用"/>
    <s v="桃園市龜山區文化一路"/>
    <s v="桃園市龜山區文化一路73號對面 "/>
    <s v="皇普建設股份有限公司"/>
    <x v="7"/>
    <s v="寶佳集團"/>
    <s v="安興營造有限公司"/>
    <s v="新理想廣告"/>
    <s v="近捷運、明星學區、重劃區、低首付"/>
    <n v="0.31859999999999999"/>
    <n v="0.31859999999999999"/>
    <s v="6棟，308戶住家，13戶店面"/>
    <x v="10"/>
    <n v="13"/>
    <n v="0.47989999999999999"/>
    <n v="0.47989999999999999"/>
    <s v="地上15層，地下4層"/>
    <x v="0"/>
    <s v="平面式276個、機械式45個"/>
    <s v="50元/坪/月"/>
    <s v="1:1"/>
    <x v="2"/>
    <s v="RC"/>
    <s v="1390.39坪"/>
    <x v="10"/>
    <s v="住商用"/>
    <x v="2"/>
    <s v="暫無"/>
    <s v="暫無"/>
    <s v="(107)桃市都建執照字第會龜01075號"/>
    <s v="拓璞聯合建築師事務所"/>
    <s v="暫無"/>
  </r>
  <r>
    <s v="205"/>
    <x v="1"/>
    <s v="富宇敦峰"/>
    <x v="11"/>
    <s v="fig/AiCity-939-富宇敦峰.jpg"/>
    <s v="https://newhouse.591.com.tw/home/housing/detail?hid=116430&amp;v=720"/>
    <s v="30~32萬元/坪"/>
    <x v="4"/>
    <n v="32"/>
    <x v="6"/>
    <s v="富宇敦峰住戶社團"/>
    <s v="https://www.facebook.com/groups/124542338433380"/>
    <m/>
    <s v="180~195萬"/>
    <n v="180"/>
    <n v="195"/>
    <s v="80%"/>
    <s v="銷售中"/>
    <s v="隨時交屋"/>
    <x v="2"/>
    <s v="標準配備"/>
    <s v="二房(29坪) 、三房(38坪) 、四房(49坪) 、2+1房(32坪) 、3+1房(43坪)"/>
    <s v="新成屋"/>
    <s v="A7XLK"/>
    <s v="住宅大樓 住商用"/>
    <s v="桃園市龜山區樂善國小旁"/>
    <s v="桃園市龜山區文化一路.華亞三路口"/>
    <s v="富宇建設股份有限公司"/>
    <x v="4"/>
    <s v="富宇建設"/>
    <s v="盛傑營造"/>
    <s v="華威廣告"/>
    <s v="明星學區、景觀宅、近公園、重劃區、低首付"/>
    <s v="33.35%"/>
    <n v="0.33350000000000002"/>
    <s v="8棟，441戶住家，7戶店面"/>
    <x v="11"/>
    <n v="7"/>
    <s v="43.92%"/>
    <n v="0.43919999999999998"/>
    <s v="地上15層，地下3層"/>
    <x v="0"/>
    <s v="平面式465個"/>
    <s v="65元/坪/月"/>
    <s v="1:1.04"/>
    <x v="9"/>
    <s v="RC"/>
    <s v="2727.34坪"/>
    <x v="11"/>
    <s v="住商用"/>
    <x v="0"/>
    <s v="暫無"/>
    <s v="暫無"/>
    <s v="107桃市都建執照0680號等1個"/>
    <s v="吳六合建築師事務所"/>
    <s v="暫無"/>
  </r>
  <r>
    <s v="206"/>
    <x v="1"/>
    <s v="玄泰V1"/>
    <x v="12"/>
    <s v="fig/AiCity-939-玄泰V1.jpg"/>
    <s v="https://newhouse.591.com.tw/home/housing/detail?hid=120098&amp;v=720"/>
    <s v="27~29萬元/坪"/>
    <x v="5"/>
    <n v="29"/>
    <x v="7"/>
    <m/>
    <m/>
    <m/>
    <s v="155~195萬"/>
    <n v="155"/>
    <n v="195"/>
    <s v="80%"/>
    <s v="銷售中"/>
    <s v="2022年下半年"/>
    <x v="0"/>
    <s v="標準配備"/>
    <s v="二房(21~28坪)、三房(30~46坪)"/>
    <s v="預售屋"/>
    <s v="A7XLK"/>
    <s v="住宅大樓 住商用"/>
    <s v="桃園市龜山區文化一路&amp;樂安街路口"/>
    <s v="桃園市龜山區文化一路&amp;文樂路口"/>
    <s v="允泰開發有限公司"/>
    <x v="8"/>
    <s v="玄泰建設"/>
    <s v="益盛營造"/>
    <s v="天湛廣告"/>
    <s v="近捷運、重劃區"/>
    <s v="31.9%"/>
    <n v="0.31900000000000001"/>
    <s v="2棟，138戶住家，8戶店面，125戶一般事務所"/>
    <x v="12"/>
    <n v="8"/>
    <s v="60.16%"/>
    <n v="0.60160000000000002"/>
    <s v="地上24層，地下5層"/>
    <x v="2"/>
    <s v="平面式284個"/>
    <s v="待定"/>
    <s v="1:1.05"/>
    <x v="10"/>
    <s v="RC"/>
    <s v="911.52坪"/>
    <x v="12"/>
    <s v="住商用"/>
    <x v="3"/>
    <s v="暫無"/>
    <s v="暫無"/>
    <s v="(108)桃市都建執照字第會龜00216號等1個"/>
    <s v="新森峰建築師事務所"/>
    <s v="暫無"/>
  </r>
  <r>
    <s v="207"/>
    <x v="1"/>
    <s v="和耀恆美"/>
    <x v="13"/>
    <s v="fig/AiCity-939-和耀恆美.jpeg"/>
    <s v="https://newhouse.591.com.tw/home/housing/detail?hid=122650&amp;v=720"/>
    <s v="28~33 萬/坪"/>
    <x v="0"/>
    <n v="33"/>
    <x v="8"/>
    <m/>
    <m/>
    <m/>
    <s v="待訂"/>
    <m/>
    <m/>
    <s v="80%"/>
    <s v="銷售中"/>
    <s v="2022年第二季度"/>
    <x v="7"/>
    <s v="標準配備"/>
    <s v="二房(27~29坪) 、 三房(36~48坪)"/>
    <s v="預售屋"/>
    <s v="A7XLK"/>
    <s v="住宅大樓 住商用"/>
    <s v="桃園市龜山區樂捷段172地號"/>
    <s v="桃園市龜山區文化一路&amp;樂學路口 "/>
    <s v="和耀建設股份有限公司"/>
    <x v="6"/>
    <s v="寶佳集團"/>
    <s v="國城營造有限公司"/>
    <s v="漢乙廣告事業有限公司"/>
    <s v="和耀恆美基地緊鄰樂善科技園區，是北台灣新科技聚落，未來將可活絡地方經濟，本案位處第一排優勢。主打公園景觀，2000坪公園綠地以及自然保護區第一排，享有無限景觀視野棟距，開窗即見綠意美景。"/>
    <s v="32~32.5%"/>
    <n v="0.32250000000000001"/>
    <s v="1幢，7棟，280戶住家，11戶店面"/>
    <x v="0"/>
    <n v="11"/>
    <n v="0.4743"/>
    <n v="0.4743"/>
    <s v="地上15層，地下4層"/>
    <x v="0"/>
    <s v="平面式236個、機械式59個"/>
    <s v="待定"/>
    <s v="1:1.01"/>
    <x v="8"/>
    <s v="RC"/>
    <s v="1309.14坪"/>
    <x v="13"/>
    <s v="住商用"/>
    <x v="2"/>
    <m/>
    <s v="暫無"/>
    <s v="107桃市都建執照字第00925-01號"/>
    <s v="拓璞聯合建築師事務所"/>
    <s v="暫無"/>
  </r>
  <r>
    <s v="301"/>
    <x v="2"/>
    <s v="允將大作"/>
    <x v="14"/>
    <s v="fig/AiCity-939-允將大作.jpg"/>
    <s v="https://newhouse.591.com.tw/home/housing/detail?hid=124450"/>
    <s v="35~38萬元/坪"/>
    <x v="6"/>
    <n v="38"/>
    <x v="9"/>
    <m/>
    <m/>
    <m/>
    <s v="140~210萬"/>
    <n v="140"/>
    <n v="210"/>
    <s v="80%"/>
    <s v="銷售中"/>
    <s v="2028年第二季度"/>
    <x v="8"/>
    <s v="標準配備"/>
    <s v="一房(18坪) 、二房(22~27坪) 、三房(31~42坪) 、店面(58~160坪) 、辦公室(18~42坪)"/>
    <s v="預售屋"/>
    <s v="A7XLK"/>
    <s v="住宅大樓 住商用"/>
    <s v="桃園市龜山區文化一路、樂善三路口 "/>
    <s v="桃園市龜山區文化一路568號 "/>
    <s v="允將建設股份有限公司"/>
    <x v="9"/>
    <s v="允將建設"/>
    <s v="東霙營造股份有限公司"/>
    <s v="時詣廣告股份有限公司"/>
    <s v="近捷運、明星學區、景觀宅、制震宅、近公園、重劃區、低首付"/>
    <n v="0.33800000000000002"/>
    <n v="0.33800000000000002"/>
    <s v="1幢，7棟，530戶住家，5戶店面，20戶事務所，1戶管委會空間"/>
    <x v="13"/>
    <n v="5"/>
    <n v="0.45529999999999998"/>
    <n v="0.45529999999999998"/>
    <s v="地上31層，地下6層"/>
    <x v="3"/>
    <s v="平面式563個"/>
    <s v="80元/坪/月"/>
    <s v="1:1.01"/>
    <x v="8"/>
    <s v="RC"/>
    <s v="1554.48坪"/>
    <x v="14"/>
    <s v="住商用"/>
    <x v="3"/>
    <s v="暫無"/>
    <s v="暫無"/>
    <s v="106桃市都建執照字第00391-01號"/>
    <s v="王銘鴻建築師事務所"/>
    <s v="暫無"/>
  </r>
  <r>
    <s v="302"/>
    <x v="2"/>
    <s v="欣時代"/>
    <x v="15"/>
    <s v="fig/AiCity-939-欣時代.jpg"/>
    <s v="https://newhouse.591.com.tw/home/housing/detail?hid=118905"/>
    <s v="27~29萬元/坪"/>
    <x v="5"/>
    <n v="29"/>
    <x v="7"/>
    <m/>
    <m/>
    <m/>
    <s v="170~205萬"/>
    <n v="170"/>
    <n v="205"/>
    <s v="80%"/>
    <s v="銷售中"/>
    <s v="2023年下半年"/>
    <x v="9"/>
    <s v="標準配備"/>
    <s v="三房(31~35坪) 、2+1房(26~29坪)"/>
    <s v="預售屋"/>
    <s v="A7XLK"/>
    <s v="住宅大樓 住商用"/>
    <s v="桃園市龜山區文化一路.華亞三路交叉口"/>
    <s v="桃園市龜山區文化一路、文桃路口"/>
    <s v="欣巴巴事業股份有限公司"/>
    <x v="10"/>
    <s v="欣巴巴"/>
    <s v="巴森營造股份有限公司"/>
    <s v="新高創團隊，寰宇動力廣告有限公司"/>
    <s v="近捷運、景觀宅、制震宅、近公園、重劃區、創意空間、低首付"/>
    <s v="33.5%"/>
    <n v="0.33500000000000002"/>
    <s v="5棟，235戶住家，4戶店面，19戶一般事務所"/>
    <x v="14"/>
    <n v="4"/>
    <s v="57.49%"/>
    <n v="0.57489999999999997"/>
    <s v="地上30層，地下6層"/>
    <x v="4"/>
    <s v="平面式235個"/>
    <s v="待定"/>
    <s v="1:0.91"/>
    <x v="11"/>
    <s v="RC"/>
    <s v="713.17坪"/>
    <x v="15"/>
    <s v="住商用"/>
    <x v="3"/>
    <s v="暫無"/>
    <s v="暫無"/>
    <s v="(106)桃市都建執照字第會龜00288-02號等1個"/>
    <s v="卓玲建築師事務所"/>
    <s v="暫無"/>
  </r>
  <r>
    <s v="303"/>
    <x v="2"/>
    <s v="新潤翡麗"/>
    <x v="16"/>
    <s v="fig/AiCity-939-新潤翡麗.jpg"/>
    <s v="https://newhouse.591.com.tw/home/housing/detail?hid=117434&amp;v=720"/>
    <s v="26~28萬元/坪"/>
    <x v="1"/>
    <n v="28"/>
    <x v="4"/>
    <m/>
    <m/>
    <m/>
    <s v="160~190萬"/>
    <n v="160"/>
    <n v="190"/>
    <s v="80%"/>
    <s v="銷售中"/>
    <s v="2021年第四季"/>
    <x v="4"/>
    <s v="標準配備"/>
    <s v="一房(15~17坪) 、二房(22坪) 、三房(26~31坪) 、2+1房(24坪)"/>
    <s v="預售屋"/>
    <s v="A7XLK"/>
    <s v="住宅大樓 住商用"/>
    <s v="桃園市龜山區文化一路與華亞三路"/>
    <s v="桃園市龜山區文化一路與華亞二路口"/>
    <s v="新潤建設機構"/>
    <x v="11"/>
    <s v="新潤建設"/>
    <s v="揚潤營造有限公司"/>
    <s v="華磐國際開發股份有限公司"/>
    <s v="近捷運、明星學區、景觀宅、重劃區、低首付"/>
    <s v="33.5~34.5%"/>
    <n v="0.33750000000000002"/>
    <s v="1幢，2棟，420戶住家，20戶店面，11戶一般事務所"/>
    <x v="15"/>
    <n v="20"/>
    <s v="65.02%"/>
    <n v="0.6502"/>
    <s v="地上24層，地下5層"/>
    <x v="2"/>
    <s v="平面式330個"/>
    <s v="待定"/>
    <s v="1:0.73"/>
    <x v="12"/>
    <s v="RC"/>
    <s v="1083.97坪"/>
    <x v="16"/>
    <s v="住商用"/>
    <x v="3"/>
    <s v="暫無"/>
    <s v="暫無"/>
    <s v="(106)桃市都建執照字第會龜00984-01號等1個"/>
    <s v="蕭家福聯合建築師事務所"/>
    <s v="暫無"/>
  </r>
  <r>
    <s v="304"/>
    <x v="2"/>
    <s v="新潤鉑麗"/>
    <x v="17"/>
    <s v="fig/AiCity-939-新潤鉑麗.jpg"/>
    <s v="https://newhouse.591.com.tw/home/housing/detail?hid=119614"/>
    <s v="27~29萬元/坪"/>
    <x v="5"/>
    <n v="29"/>
    <x v="7"/>
    <s v="新潤翡麗住戶天地"/>
    <s v="https://www.facebook.com/groups/321511928734593"/>
    <m/>
    <s v="165~190萬"/>
    <n v="165"/>
    <n v="190"/>
    <s v="80%"/>
    <s v="銷售中"/>
    <s v="隨時交屋"/>
    <x v="2"/>
    <s v="標準配備"/>
    <s v="二房(20坪) 、三房(27~35坪) 、2+1房(24坪) 、3+1房(36坪)"/>
    <s v="新成屋"/>
    <s v="A7XLK"/>
    <s v="住宅大樓 住商用"/>
    <s v="桃園市龜山區華亞三路39巷2號 "/>
    <s v="桃園市龜山區華亞三路39巷2號 "/>
    <s v="新潤興業股份有限公司"/>
    <x v="12"/>
    <s v="新潤建設"/>
    <s v="國原營造股份有限公司"/>
    <s v="華麟廣告"/>
    <s v="近捷運、明星學區、景觀宅、重劃區"/>
    <n v="0.33500000000000002"/>
    <n v="0.33500000000000002"/>
    <s v="2幢，3棟，266戶住家，13戶店面"/>
    <x v="16"/>
    <n v="13"/>
    <n v="0.59850000000000003"/>
    <n v="0.59850000000000003"/>
    <s v="地上15層，地下4層"/>
    <x v="0"/>
    <s v="平面式243個"/>
    <s v="80元/坪/月"/>
    <s v="1:0.87"/>
    <x v="4"/>
    <s v="RC"/>
    <s v="1137.47坪"/>
    <x v="17"/>
    <s v="住商用"/>
    <x v="2"/>
    <s v="暫無"/>
    <s v="暫無"/>
    <s v="107桃市都建執照字第龜01089-01號"/>
    <s v="蕭家福聯合建築師事務所"/>
    <s v="109桃市都施使字第00666號"/>
  </r>
  <r>
    <s v="305"/>
    <x v="2"/>
    <s v="根津苑"/>
    <x v="18"/>
    <s v="fig/AiCity-939-根津苑.jpg"/>
    <s v="https://newhouse.591.com.tw/home/housing/detail?hid=118143&amp;v=720"/>
    <s v="24~26萬元/坪"/>
    <x v="7"/>
    <n v="26"/>
    <x v="2"/>
    <s v="根津苑"/>
    <s v="https://www.facebook.com/%E6%A0%B9%E6%B4%A5%E8%8B%91-102597158541363"/>
    <m/>
    <s v="160~190萬"/>
    <n v="160"/>
    <n v="190"/>
    <s v="80%"/>
    <s v="銷售中"/>
    <s v="隨時交屋"/>
    <x v="2"/>
    <s v="標準配備"/>
    <s v="二房(25~28坪)、三房(36~40坪)、4房(49坪)"/>
    <s v="新成屋"/>
    <s v="A7XLK"/>
    <s v="住宅大樓 住商用"/>
    <s v="桃園市龜山區樂善三路"/>
    <s v="桃園市龜山區文化一路與華亜三路交口"/>
    <s v="鴻承建設股份有限公司"/>
    <x v="13"/>
    <s v="寶佳集團"/>
    <s v="國城營造有限公司"/>
    <s v="永捷廣告有限公司"/>
    <s v="近捷運、明星學區、制震宅、近公園、重劃區"/>
    <s v="32%"/>
    <n v="0.32"/>
    <s v="4棟，225戶住家，3戶店面"/>
    <x v="17"/>
    <n v="3"/>
    <s v="50.54%"/>
    <n v="0.50539999999999996"/>
    <s v="地上15層，地下4層"/>
    <x v="0"/>
    <s v="平面式228個"/>
    <s v="待定"/>
    <s v="1:1"/>
    <x v="2"/>
    <s v="RC"/>
    <s v="1848.44坪"/>
    <x v="2"/>
    <s v="住商用"/>
    <x v="2"/>
    <s v="暫無"/>
    <s v="暫無"/>
    <s v="(107)桃市都建執照字第會龜00667號等1個"/>
    <s v="拓璞聯合建築師事務所"/>
    <s v="暫無"/>
  </r>
  <r>
    <s v="306"/>
    <x v="2"/>
    <s v="華悅城"/>
    <x v="19"/>
    <s v="fig/AiCity-939-華悅城.jpg"/>
    <s v="https://newhouse.591.com.tw/home/housing/detail?hid=120741"/>
    <s v="26~30萬元/坪"/>
    <x v="1"/>
    <n v="30"/>
    <x v="7"/>
    <m/>
    <m/>
    <m/>
    <s v="150~195萬"/>
    <n v="150"/>
    <n v="195"/>
    <s v="80%"/>
    <s v="銷售中"/>
    <s v="2021年下半年"/>
    <x v="4"/>
    <s v="標準配備"/>
    <s v="二房(23坪) 、三房(32坪)"/>
    <s v="預售屋"/>
    <s v="A7XLK"/>
    <s v="住宅大樓 住商用"/>
    <s v="桃園市龜山區樂善二路、樂善三路口"/>
    <s v="桃園市龜山區文化一路"/>
    <s v="興富發建設股份有限公司"/>
    <x v="14"/>
    <s v="興富發建設"/>
    <s v="齊裕營造股份有限公司"/>
    <s v="愛山林建設開發(股)公司"/>
    <s v="近捷運、明星學區、景觀宅、近公園、重劃區、低首付"/>
    <n v="0.34"/>
    <n v="0.34"/>
    <s v="3棟，776戶住家，8戶店面"/>
    <x v="18"/>
    <n v="8"/>
    <n v="0.44359999999999999"/>
    <n v="0.44359999999999999"/>
    <s v="地上18層，地下4層"/>
    <x v="5"/>
    <s v="平面式590個、機械式119個"/>
    <s v="待定"/>
    <s v="1:0.9"/>
    <x v="13"/>
    <s v="RC"/>
    <s v="2751.33坪"/>
    <x v="18"/>
    <s v="住商用"/>
    <x v="2"/>
    <s v="暫無"/>
    <s v="暫無"/>
    <s v="(108)桃市都建執照字第會龜00410-01號"/>
    <s v="廖蓮輝建築師事務所"/>
    <s v="暫無"/>
  </r>
  <r>
    <s v="307"/>
    <x v="2"/>
    <s v="富宇悅峰"/>
    <x v="20"/>
    <s v="fig/AiCity-939-富宇悅峰.jpg"/>
    <s v="https://newhouse.591.com.tw/home/housing/detail?hid=119483&amp;v=720"/>
    <s v="28~32萬元/坪"/>
    <x v="0"/>
    <n v="32"/>
    <x v="10"/>
    <m/>
    <m/>
    <m/>
    <s v="175~195萬"/>
    <n v="175"/>
    <n v="195"/>
    <s v="80%"/>
    <s v="銷售中"/>
    <s v="2022年第一季"/>
    <x v="1"/>
    <s v="標準配備"/>
    <s v="二房(27~31坪) 、三房(27~31坪)"/>
    <s v="預售屋"/>
    <s v="A7XLK"/>
    <s v="住宅大樓 住家用"/>
    <s v="桃園市龜山區善捷段地號 209"/>
    <s v="桃園市龜山區文化一路與文桃路口"/>
    <s v="富宇建設股份有限公司"/>
    <x v="4"/>
    <s v="富宇建設"/>
    <s v="盛傑營造有限公司"/>
    <s v="華威廣告有限公司"/>
    <s v="近捷運、明星學區、景觀宅、近公園、重劃區、低首付"/>
    <s v="33.5~40%"/>
    <n v="0.36799999999999999"/>
    <s v="5棟，264戶住家"/>
    <x v="19"/>
    <n v="0"/>
    <s v="40.21%"/>
    <n v="0.40210000000000001"/>
    <s v="地上14層，地下4層"/>
    <x v="1"/>
    <s v="平面式227個"/>
    <s v="70元/坪/月"/>
    <s v="1:0.86"/>
    <x v="14"/>
    <s v="RC"/>
    <s v="1266.01坪"/>
    <x v="19"/>
    <s v="住商用"/>
    <x v="2"/>
    <s v="暫無"/>
    <s v="暫無"/>
    <s v="(108)桃市都建執照字第會龜00334號等1個"/>
    <s v="徐瑞燦建築師事務所"/>
    <s v="暫無"/>
  </r>
  <r>
    <s v="308"/>
    <x v="2"/>
    <s v="合遠新天地"/>
    <x v="21"/>
    <s v="fig/AiCity-939-合遠新天地.jpeg"/>
    <m/>
    <s v="24~26萬元/坪"/>
    <x v="7"/>
    <n v="26"/>
    <x v="2"/>
    <m/>
    <m/>
    <m/>
    <s v="165~185萬"/>
    <n v="165"/>
    <n v="185"/>
    <s v="80%"/>
    <s v="已完銷"/>
    <s v="隨時交屋"/>
    <x v="2"/>
    <s v="標準配備"/>
    <s v="二房(27~28坪)、三房(36~43坪)"/>
    <s v="新成屋"/>
    <s v="A7XLK"/>
    <s v="住宅大樓 住商用"/>
    <s v="桃園市龜山區華亞三路"/>
    <s v="桃園市龜山區華亞三路"/>
    <s v="合遠建設股份有限公司"/>
    <x v="15"/>
    <s v="寶佳集團"/>
    <s v="國城營造有限公司"/>
    <s v="盛馨廣告有限公司"/>
    <s v="近捷運、近公園、重劃區"/>
    <s v="31~32%"/>
    <n v="0.315"/>
    <s v="2棟，112戶住家，4戶店面"/>
    <x v="20"/>
    <n v="4"/>
    <s v="33.97%"/>
    <n v="0.3397"/>
    <s v="地上15層，地下4層"/>
    <x v="0"/>
    <s v="平面式104個、機械式14個"/>
    <s v="待定"/>
    <s v="1:1.02"/>
    <x v="7"/>
    <s v="RC"/>
    <s v="642.92坪"/>
    <x v="20"/>
    <s v="住商用"/>
    <x v="2"/>
    <s v="暫無"/>
    <s v="暫無"/>
    <s v="(106)桃市都建執照字第會龜01161-01號等1個"/>
    <s v="閤康聯合建築師事務所"/>
    <s v="暫無"/>
  </r>
  <r>
    <s v="309"/>
    <x v="2"/>
    <s v="友文化"/>
    <x v="22"/>
    <s v="fig/AiCity-939-友文化.jpg"/>
    <s v="https://newhouse.591.com.tw/home/housing/info?hid=121155"/>
    <s v="30~31萬元/坪"/>
    <x v="4"/>
    <n v="31"/>
    <x v="8"/>
    <s v="友文化"/>
    <s v="https://www.facebook.com/groups/710305099774047"/>
    <m/>
    <s v="195~215萬"/>
    <n v="195"/>
    <n v="215"/>
    <s v="80%"/>
    <s v="銷售中"/>
    <s v="2021年第三季度"/>
    <x v="3"/>
    <s v="標準配備"/>
    <s v="二房(26~27坪) 、三房(37~42坪)"/>
    <s v="預售屋"/>
    <s v="A7XLK"/>
    <s v="住宅大樓 住商用"/>
    <s v="桃園市龜山區文化二路、華亞三路口 "/>
    <s v="桃園市龜山區華亞三路195號 "/>
    <s v="合遠建設股份有限公司"/>
    <x v="15"/>
    <s v="寶佳集團"/>
    <s v="國城營造有限公司"/>
    <s v="新高智廣告"/>
    <s v="近捷運、景觀宅、近公園、重劃區、低首付"/>
    <n v="0.32"/>
    <n v="0.32"/>
    <s v="3幢，7棟，305戶住家"/>
    <x v="21"/>
    <n v="0"/>
    <n v="0.44209999999999999"/>
    <n v="0.44209999999999999"/>
    <s v="地上15層，地下4層"/>
    <x v="0"/>
    <s v="平面式279個、機械式26個"/>
    <s v="50元/坪/月"/>
    <s v="1:1"/>
    <x v="2"/>
    <s v="RC"/>
    <s v="1426.7坪"/>
    <x v="21"/>
    <s v="住商用"/>
    <x v="2"/>
    <s v="暫無"/>
    <s v="暫無"/>
    <s v="(108)桃市都建執照字第會龜00050號"/>
    <s v="蔡智勸建築師事務所"/>
    <s v="暫無"/>
  </r>
  <r>
    <s v="310"/>
    <x v="2"/>
    <s v="水悅青青"/>
    <x v="23"/>
    <s v="fig/AiCity-939-水悅青青.webp"/>
    <s v="https://newhouse.591.com.tw/home/housing/detail?hid=125625"/>
    <s v="29~31 萬/坪"/>
    <x v="8"/>
    <n v="31"/>
    <x v="10"/>
    <m/>
    <m/>
    <m/>
    <s v="190~210萬"/>
    <n v="190"/>
    <n v="210"/>
    <s v="80%"/>
    <s v="銷售中"/>
    <s v="2021年10月"/>
    <x v="4"/>
    <s v="標準配備"/>
    <s v="二房(25~28坪) 、 三房(38坪) 、 2+1房(34坪)"/>
    <s v="預售屋"/>
    <s v="A7XLK"/>
    <s v="住宅大樓 住商用"/>
    <s v="桃園市龜山區善捷段28地號"/>
    <s v="桃園市龜山區文化一路88-2號"/>
    <s v="鴻承建設股份有限公司"/>
    <x v="13"/>
    <s v="寶佳集團"/>
    <s v="國城營造有限公司"/>
    <s v="永捷廣告"/>
    <s v="水悅青青公園第一排職人施工 EPDM防水材 浴室止水墩公園 湖景 學區 捷運A8生活圈 華亞特區名宅聚落"/>
    <n v="0.32"/>
    <n v="0.32"/>
    <s v="1幢，3棟，204戶住家，7戶店面"/>
    <x v="22"/>
    <n v="7"/>
    <n v="0.55610000000000004"/>
    <n v="0.55610000000000004"/>
    <s v="地上13、14層，地下5層"/>
    <x v="1"/>
    <s v="平面式211個"/>
    <s v="待定"/>
    <s v="1:1"/>
    <x v="2"/>
    <s v="RC"/>
    <s v="910.52坪"/>
    <x v="22"/>
    <s v="住商用"/>
    <x v="2"/>
    <m/>
    <s v="暫無"/>
    <s v="108桃市都建執照字第00167號"/>
    <s v="拓璞聯合建築師事務所"/>
    <s v="暫無"/>
  </r>
  <r>
    <s v="311"/>
    <x v="2"/>
    <s v="文華天際"/>
    <x v="24"/>
    <s v="fig/AiCity-939-文華天際.png"/>
    <s v="https://newhouse.591.com.tw/home/housing/detail?hid=127139"/>
    <s v="27 萬/坪 "/>
    <x v="5"/>
    <n v="27"/>
    <x v="4"/>
    <m/>
    <m/>
    <m/>
    <s v="115~217萬"/>
    <n v="115"/>
    <n v="217"/>
    <s v="80%"/>
    <s v="尚未開賣"/>
    <s v="時間待定"/>
    <x v="10"/>
    <s v="標準配備"/>
    <s v="二房(24~28坪) 、 三房(29~36坪) 、 3+1房(41坪)"/>
    <s v="預售屋"/>
    <s v="A7XLK"/>
    <s v="住宅大樓 住商用"/>
    <s v="桃園市龜山區文化二路、華亞三路口"/>
    <s v="桃園市龜山區文桃路、樂善一路口"/>
    <s v="合遠建設股份有限公司"/>
    <x v="15"/>
    <s v="寶佳集團"/>
    <s v="國城營造有限公司"/>
    <s v="新誠家廣告有限公司"/>
    <s v="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
    <n v="0.32500000000000001"/>
    <n v="0.33"/>
    <s v="1幢，2棟，478戶住家，8戶店面"/>
    <x v="23"/>
    <n v="8"/>
    <n v="0.3347"/>
    <n v="0.3347"/>
    <s v="地上22層，地下4層"/>
    <x v="6"/>
    <s v="平面式440個、機械式46個"/>
    <s v="待定"/>
    <s v="1:1"/>
    <x v="2"/>
    <s v="RC"/>
    <s v="1998.07坪"/>
    <x v="23"/>
    <s v="住商用"/>
    <x v="2"/>
    <m/>
    <s v="暫無"/>
    <s v="109桃市都建執照字第00376-01號"/>
    <s v="蔡智勸建築師事務所"/>
    <s v="暫無"/>
  </r>
  <r>
    <s v="401"/>
    <x v="3"/>
    <s v="竹城甲子園"/>
    <x v="25"/>
    <s v="fig/AiCity-939-竹城甲子園.jpg"/>
    <s v="https://newhouse.591.com.tw/home/housing/detail?hid=119261&amp;v=720"/>
    <s v="26~28萬元/坪"/>
    <x v="1"/>
    <n v="28"/>
    <x v="4"/>
    <s v="竹城甲子園住戶交流區"/>
    <s v="https://www.facebook.com/groups/1127911624065990"/>
    <m/>
    <m/>
    <m/>
    <m/>
    <s v="80%"/>
    <s v="銷售中"/>
    <s v="2021年下半度"/>
    <x v="4"/>
    <s v="標準配備"/>
    <s v="二房(26~28坪) 、三房(36~39坪) 、四房(43~49坪) 、2+1房(26~29坪)"/>
    <s v="預售屋"/>
    <s v="A7XLK"/>
    <s v="住宅大樓 住商用"/>
    <s v="桃園市龜山區文化一路、文桃路口"/>
    <s v="桃園市龜山區文化一路588號"/>
    <s v="竹城建設股份有限公司"/>
    <x v="16"/>
    <s v="竹城建設"/>
    <s v="大裕營造有限公司"/>
    <s v="海悅國際開發股份有限公司"/>
    <s v="近捷運、景觀宅、近公園、重劃區"/>
    <s v="32.5%"/>
    <n v="0.32500000000000001"/>
    <s v="8棟，1144戶住家，30戶店面，33戶一般事務所，2戶商場"/>
    <x v="24"/>
    <n v="30"/>
    <s v="50.21%"/>
    <n v="0.50209999999999999"/>
    <s v="地上24層，地下4層"/>
    <x v="2"/>
    <s v="平面式1063個"/>
    <s v="待定"/>
    <s v="1:0.88"/>
    <x v="15"/>
    <s v="RC"/>
    <s v="4352.46坪"/>
    <x v="24"/>
    <s v="住商用"/>
    <x v="3"/>
    <s v="暫無"/>
    <s v="暫無"/>
    <s v="(106)桃市都建執照字第會龜01249-02號等1個"/>
    <s v="閤康聯合建築師事務所"/>
    <s v="暫無"/>
  </r>
  <r>
    <s v="402"/>
    <x v="3"/>
    <s v="金捷市"/>
    <x v="26"/>
    <s v="fig/AiCity-939-金捷市.jpg"/>
    <s v="https://newhouse.591.com.tw/home/housing/detail?hid=116107&amp;v=720"/>
    <s v="30.5萬元/坪"/>
    <x v="9"/>
    <n v="30.5"/>
    <x v="8"/>
    <s v="金捷市準鄰居交流園地"/>
    <s v="https://www.facebook.com/groups/238626460426128"/>
    <m/>
    <s v="140~215萬"/>
    <n v="140"/>
    <n v="215"/>
    <s v="80%"/>
    <s v="銷售中"/>
    <s v="隨時交屋"/>
    <x v="2"/>
    <s v="標準配備"/>
    <s v="二房(26坪)、三房(38坪)、1+1房(26坪)、2+1房(34坪)"/>
    <s v="預售屋"/>
    <s v="A7XLK"/>
    <s v="住宅大樓 住商用"/>
    <s v="桃園市龜山區文化一路"/>
    <s v="桃園市龜山區文化一路"/>
    <s v="鴻築建設股份有限公司"/>
    <x v="1"/>
    <s v="寶佳集團"/>
    <s v="國城營造有限公司"/>
    <s v="漢森廣告事業有限公司"/>
    <s v="近捷運、明星學區、制震宅、近公園、重劃區"/>
    <s v="31.9%"/>
    <n v="0.31900000000000001"/>
    <s v="4幢，754戶住家，23戶店面, 1商場"/>
    <x v="25"/>
    <n v="23"/>
    <s v="50.74%"/>
    <n v="0.50739999999999996"/>
    <s v="地上28層，地下6層"/>
    <x v="7"/>
    <s v="平面式822個"/>
    <s v="待定"/>
    <s v="1:1.06"/>
    <x v="16"/>
    <s v="RC"/>
    <s v="2090.31坪"/>
    <x v="25"/>
    <s v="住商用"/>
    <x v="3"/>
    <s v="暫無"/>
    <s v="暫無"/>
    <s v="(106)桃市都建執照字第會龜00822號等1個"/>
    <s v="拓樸聯合建築師事務所"/>
    <s v="暫無"/>
  </r>
  <r>
    <s v="403"/>
    <x v="3"/>
    <s v="鴻築捷市達"/>
    <x v="27"/>
    <s v="fig/AiCity-939-鴻築捷市達.jpg"/>
    <s v="https://newhouse.591.com.tw/home/housing/detail?hid=122649&amp;v=720"/>
    <s v="35~38萬元/坪"/>
    <x v="6"/>
    <n v="38"/>
    <x v="9"/>
    <m/>
    <m/>
    <m/>
    <s v="175~205萬"/>
    <n v="175"/>
    <n v="205"/>
    <s v="80%"/>
    <s v="銷售中"/>
    <s v="2023年12月"/>
    <x v="9"/>
    <s v="標準配備"/>
    <s v="二房(23、28坪) 、三房(33坪)"/>
    <s v="預售屋"/>
    <s v="A7XLK"/>
    <s v="住宅大樓 住商用"/>
    <s v="桃園市龜山區善捷段182地號"/>
    <s v="桃園市龜山區文化一路238號旁"/>
    <s v="鴻築建設股份有限公司"/>
    <x v="1"/>
    <s v="寶佳集團"/>
    <s v="國城營造有限公司"/>
    <s v="漢林廣告事業有限公司"/>
    <s v="近捷運、景觀宅、制震宅、近公園、重劃區"/>
    <s v="32%"/>
    <n v="0.32"/>
    <s v="1幢，4棟，771戶住家，31戶店面，1戶商場"/>
    <x v="26"/>
    <n v="31"/>
    <s v="49.53%"/>
    <n v="0.49530000000000002"/>
    <s v="地上29層，地下5層"/>
    <x v="8"/>
    <s v="平面式778個"/>
    <s v="待定"/>
    <s v="1:0.97"/>
    <x v="17"/>
    <s v="RC"/>
    <s v="2067.24坪"/>
    <x v="26"/>
    <s v="住商用"/>
    <x v="3"/>
    <s v="暫無"/>
    <s v="暫無"/>
    <s v="108桃市都建執照字第00438-01號等1個"/>
    <s v="拓璞聯合建築師事務所"/>
    <s v="暫無"/>
  </r>
  <r>
    <s v="404"/>
    <x v="3"/>
    <s v="詠勝市中欣"/>
    <x v="28"/>
    <s v="fig/AiCity-939-詠勝市中欣.jpg"/>
    <s v="https://newhouse.591.com.tw/home/housing/detail?hid=120096&amp;v=720"/>
    <s v="27~32萬元/坪"/>
    <x v="5"/>
    <n v="32"/>
    <x v="11"/>
    <m/>
    <m/>
    <m/>
    <s v="155~205萬"/>
    <n v="155"/>
    <n v="205"/>
    <s v="80%"/>
    <s v="銷售中"/>
    <s v="2022年12月"/>
    <x v="0"/>
    <s v="標準配備"/>
    <s v="一房(20坪) 、二房(25坪) 、三房(28~37坪)"/>
    <s v="新成屋"/>
    <s v="A7XLK"/>
    <s v="住宅大樓 住商用"/>
    <s v="桃園市龜山區樂善一路"/>
    <s v="桃園市龜山區樂善一路、樂善二路口"/>
    <s v="詠勝開發有限公司"/>
    <x v="17"/>
    <s v="詠勝開發"/>
    <s v="詠勝開發營造股份有限公司"/>
    <s v="君漾廣告有限公司"/>
    <s v="近捷運、明星學區、景觀宅、近公園、重劃區、創意空間、低首付"/>
    <s v="33%"/>
    <n v="0.33"/>
    <s v="1棟，257戶住家，7戶店面，32戶一般事務所"/>
    <x v="27"/>
    <n v="7"/>
    <s v="53.26%"/>
    <n v="0.53259999999999996"/>
    <s v="地上22層，地下5層"/>
    <x v="6"/>
    <s v="平面式298個"/>
    <s v="待定"/>
    <s v="1:1.01"/>
    <x v="8"/>
    <s v="RC"/>
    <s v="926.66坪"/>
    <x v="27"/>
    <s v="住商用"/>
    <x v="3"/>
    <s v="暫無"/>
    <s v="暫無"/>
    <s v="(106)桃市都建執照字第會龜00159-01號等1個"/>
    <s v="新森峰建築師事務所"/>
    <s v="暫無"/>
  </r>
  <r>
    <s v="405"/>
    <x v="3"/>
    <s v="新A7"/>
    <x v="29"/>
    <s v="fig/AiCity-939-新A7.jpg"/>
    <s v="https://newhouse.591.com.tw/home/housing/detail?hid=122651"/>
    <s v="31~33萬元/坪"/>
    <x v="10"/>
    <n v="33"/>
    <x v="12"/>
    <m/>
    <m/>
    <m/>
    <s v="180~200萬"/>
    <n v="180"/>
    <n v="200"/>
    <s v="80%"/>
    <s v="銷售中"/>
    <s v="2021年第四季度"/>
    <x v="4"/>
    <s v="標準配備"/>
    <s v="二房(23~27坪) 、三房(25~38坪) 、四房(44~46坪)"/>
    <s v="預售屋"/>
    <s v="A7XLK"/>
    <s v="住宅大樓 住商用"/>
    <s v="桃園市龜山區樂善二路 "/>
    <s v="桃園市龜山區文化一路115號 "/>
    <s v="鴻廣建設股份有限公司"/>
    <x v="18"/>
    <s v="寶佳集團"/>
    <s v="國城營造有限公司"/>
    <s v="達程廣告股份有限公司"/>
    <s v="近捷運、明星學區、近公園、重劃區"/>
    <n v="0.32"/>
    <n v="0.32"/>
    <s v="4幢，7棟，371戶住家，3戶店面"/>
    <x v="28"/>
    <n v="3"/>
    <n v="0.46450000000000002"/>
    <n v="0.46450000000000002"/>
    <s v="地上15層，地下4層"/>
    <x v="0"/>
    <s v="平面式143個、機械式232個"/>
    <s v="待定"/>
    <s v="1:1"/>
    <x v="2"/>
    <s v="RC"/>
    <s v="1538.68坪"/>
    <x v="28"/>
    <s v="住商用"/>
    <x v="2"/>
    <s v="暫無"/>
    <s v="暫無"/>
    <s v="108桃市都建執照字第00568-02號"/>
    <s v="張建鴻建築師事務所"/>
    <s v="暫無"/>
  </r>
  <r>
    <s v="406"/>
    <x v="3"/>
    <s v="富御捷境"/>
    <x v="30"/>
    <s v="fig/AiCity-939-富御捷境.jpg"/>
    <s v="https://newhouse.591.com.tw/home/housing/detail?hid=116475"/>
    <s v="27~29萬元/坪"/>
    <x v="5"/>
    <n v="29"/>
    <x v="7"/>
    <s v="A7 富御捷境好鄰居交流團"/>
    <s v="https://www.facebook.com/groups/1970564956581068"/>
    <m/>
    <s v="195~200萬"/>
    <n v="195"/>
    <n v="200"/>
    <s v="80%"/>
    <s v="銷售中"/>
    <s v="隨時交屋"/>
    <x v="2"/>
    <s v="標準配備"/>
    <s v="一房(18.78坪)、二房(22~29坪)、三房(37~41坪)、四房(43坪)"/>
    <s v="新成屋"/>
    <s v="A7XLK"/>
    <s v="住宅大樓 住商用"/>
    <s v="桃園市龜山區善捷段地號 142"/>
    <s v="桃園市龜山區文桃路"/>
    <s v="和峻建設股份有限公司"/>
    <x v="19"/>
    <s v="寶佳集團"/>
    <s v="國城營造有限公司"/>
    <s v="新理想廣告有限公司"/>
    <s v="近捷運、景觀宅、重劃區"/>
    <s v="31.5%"/>
    <n v="0.315"/>
    <s v="5棟，337戶住家，2戶店面"/>
    <x v="29"/>
    <n v="2"/>
    <s v="47.5%"/>
    <n v="0.47499999999999998"/>
    <s v="地上14~15層，地下4層"/>
    <x v="0"/>
    <s v="平面式180個、機械式125個"/>
    <s v="待定"/>
    <s v="1:0.9"/>
    <x v="13"/>
    <s v="RC"/>
    <s v="1359.03坪"/>
    <x v="29"/>
    <s v="住商用"/>
    <x v="2"/>
    <s v="暫無"/>
    <s v="暫無"/>
    <s v="(106)桃市都建執照字第會龜01237 號等1個"/>
    <s v="拓璞聯合建築師事務所"/>
    <s v="暫無"/>
  </r>
  <r>
    <s v="407"/>
    <x v="3"/>
    <s v="富宇哈佛苑"/>
    <x v="31"/>
    <s v="fig/AiCity-939-富宇哈佛苑.jpg"/>
    <s v="https://newhouse.591.com.tw/home/housing/detail?hid=121157&amp;v=720"/>
    <s v="33~38萬元/坪"/>
    <x v="11"/>
    <n v="38"/>
    <x v="13"/>
    <m/>
    <m/>
    <m/>
    <s v="180~205萬"/>
    <n v="180"/>
    <n v="205"/>
    <s v="80%"/>
    <s v="銷售中"/>
    <s v="2023年第四季"/>
    <x v="9"/>
    <s v="標準配備"/>
    <s v="二房(22~25坪) 、三房(30~37坪) 、2+1房(27坪) 、3+1房(40坪)"/>
    <s v="預售屋"/>
    <s v="A7XLK"/>
    <s v="住宅大樓 住商用"/>
    <s v="桃園市龜山區善捷段75地號"/>
    <s v="桃園市龜山區文化一路、華亞三路"/>
    <s v="富宇建設股份有限公司"/>
    <x v="4"/>
    <s v="富宇建設"/>
    <s v="盛傑營造有限公司"/>
    <s v="華昱廣告有限公司"/>
    <s v="近捷運、明星學區、景觀宅、近公園、重劃區、低首付"/>
    <s v="33.5%"/>
    <n v="0.33500000000000002"/>
    <s v="1幢，3棟，483戶住家，8戶店面"/>
    <x v="30"/>
    <n v="8"/>
    <s v="44.18%"/>
    <n v="0.44180000000000003"/>
    <s v="地上24層，地下4層"/>
    <x v="2"/>
    <s v="平面式495個"/>
    <s v="70元/坪/月"/>
    <s v="1:1.01"/>
    <x v="8"/>
    <s v="RC"/>
    <s v="2155.85坪"/>
    <x v="30"/>
    <s v="住商用"/>
    <x v="2"/>
    <s v="暫無"/>
    <s v="暫無"/>
    <s v="108桃市都建執照字第00961號等1個"/>
    <s v="吳六合建築師事務所"/>
    <s v="暫無"/>
  </r>
  <r>
    <s v="408"/>
    <x v="3"/>
    <s v="頤昌豐岳"/>
    <x v="32"/>
    <s v="fig/AiCity-939-頤昌豐岳.jpg"/>
    <s v="https://newhouse.591.com.tw/home/housing/info?hid=122055"/>
    <s v="30萬元/坪"/>
    <x v="4"/>
    <n v="30"/>
    <x v="10"/>
    <m/>
    <m/>
    <m/>
    <s v="160~190萬"/>
    <n v="160"/>
    <n v="190"/>
    <s v="80%"/>
    <s v="銷售中"/>
    <s v="2022年第一季度"/>
    <x v="1"/>
    <s v="標準配備"/>
    <s v="二房(26~28坪) 、三房(38~40坪) 、四房(45~52坪) 、店面(36~52坪)"/>
    <s v="預售屋"/>
    <s v="A7XLK"/>
    <s v="住宅大樓 住商用"/>
    <s v="桃園市龜山區文樂路、樂善一路交叉口附近"/>
    <s v="桃園市龜山區文樂路、樂善一路交叉口附近"/>
    <s v="頤昌建設股份有限公司"/>
    <x v="20"/>
    <s v="頤昌建設"/>
    <s v="晉福營造"/>
    <s v="鈞驛廣告"/>
    <s v="近捷運、明星學區、重劃區"/>
    <n v="0.32"/>
    <n v="0.32"/>
    <s v="2棟，154戶住家，9戶店面"/>
    <x v="31"/>
    <n v="9"/>
    <n v="0.4622"/>
    <n v="0.4622"/>
    <s v="地上15層，地下4層"/>
    <x v="0"/>
    <s v="平面式190個"/>
    <s v="待定"/>
    <s v="1:1.17"/>
    <x v="18"/>
    <s v="RC"/>
    <s v="933.78坪"/>
    <x v="31"/>
    <s v="住商用"/>
    <x v="4"/>
    <s v="暫無"/>
    <s v="暫無"/>
    <s v="108桃市都建執照字第01005-01號"/>
    <s v="陳朝雄建築師事務所"/>
    <s v="暫無"/>
  </r>
  <r>
    <s v="409"/>
    <x v="3"/>
    <s v="新未來2"/>
    <x v="33"/>
    <s v="fig/AiCity-939-新未來2.jpg"/>
    <s v="https://newhouse.591.com.tw/home/housing/info?hid=118904"/>
    <s v="30~32萬元/坪"/>
    <x v="4"/>
    <n v="32"/>
    <x v="6"/>
    <m/>
    <m/>
    <m/>
    <s v="180~210萬"/>
    <n v="180"/>
    <n v="210"/>
    <n v="0.75"/>
    <s v="銷售中"/>
    <s v="2022年5月"/>
    <x v="7"/>
    <s v="標準配備"/>
    <s v="三房(36~42坪) 、四房(54坪)"/>
    <s v="預售屋"/>
    <s v="A7XLK"/>
    <s v="住宅大樓 住商用"/>
    <s v="桃園市龜山區文桃路內"/>
    <s v="桃園市龜山區樂善一路10號 "/>
    <s v="遠雄建設事業股份有限公司"/>
    <x v="21"/>
    <s v="遠雄建設"/>
    <s v="遠雄營造股份有限公司"/>
    <s v="遠雄房地產發展(股)公司"/>
    <s v="近捷運、明星學區、近公園、重劃區"/>
    <n v="0.33"/>
    <n v="0.33"/>
    <s v="2棟，376戶住家，9戶店面"/>
    <x v="32"/>
    <n v="9"/>
    <n v="0.36220000000000002"/>
    <n v="0.36220000000000002"/>
    <s v="地上22層，地下4層"/>
    <x v="6"/>
    <s v="平面式438個"/>
    <s v="待定"/>
    <s v="1:1.14"/>
    <x v="19"/>
    <s v="RC"/>
    <s v="1955.56坪"/>
    <x v="32"/>
    <s v="住商用"/>
    <x v="2"/>
    <s v="暫無"/>
    <s v="暫無"/>
    <s v="(107)桃市字第會龜00687號"/>
    <s v="李祖原聯合建築師事務所"/>
    <s v="暫無"/>
  </r>
  <r>
    <s v="410"/>
    <x v="3"/>
    <s v="新未來3"/>
    <x v="34"/>
    <s v="fig/AiCity-939-新未來3.jpg"/>
    <s v="https://newhouse.591.com.tw/home/housing/info?hid=122831"/>
    <s v="33~38萬元/坪"/>
    <x v="11"/>
    <n v="38"/>
    <x v="13"/>
    <m/>
    <m/>
    <m/>
    <s v="190萬"/>
    <n v="190"/>
    <n v="190"/>
    <s v="80%"/>
    <s v="銷售中"/>
    <s v="2023年12月"/>
    <x v="9"/>
    <s v="標準配備"/>
    <s v="二房(24~27坪) 、2+1房(36~42坪) 、3+1房(46坪)"/>
    <s v="預售屋"/>
    <s v="A7XLK"/>
    <s v="住宅大樓 住商用"/>
    <s v="桃園市龜山區文吉路及樂善二路路口"/>
    <s v="桃園市龜山區樂善一路10號 "/>
    <s v="遠雄建設事業股份有限公司"/>
    <x v="21"/>
    <s v="遠雄建設"/>
    <s v="遠雄營造股份有限公司"/>
    <s v="遠雄房地產發展(股)公司"/>
    <s v="近捷運、明星學區、近公園、重劃區"/>
    <n v="0.3327"/>
    <n v="0.3327"/>
    <s v="2幢，3棟，582戶住家，16戶店面"/>
    <x v="33"/>
    <n v="16"/>
    <n v="0.38300000000000001"/>
    <n v="0.38300000000000001"/>
    <s v="地上19、22層，地下5層"/>
    <x v="6"/>
    <s v="平面式598個"/>
    <s v="待定"/>
    <s v="1:1"/>
    <x v="2"/>
    <s v="RC"/>
    <s v="2513.22坪"/>
    <x v="33"/>
    <s v="住商用"/>
    <x v="2"/>
    <s v="暫無"/>
    <s v="暫無"/>
    <s v="109桃市都建執照字第00076號"/>
    <s v="三門聯合建築師事務所"/>
    <s v="暫無"/>
  </r>
  <r>
    <s v="411"/>
    <x v="3"/>
    <s v="和洲金剛"/>
    <x v="35"/>
    <s v="fig/AiCity-939-和洲金剛.jpg"/>
    <s v="https://newhouse.591.com.tw/home/housing/detail?hid=122486&amp;v=720"/>
    <s v="25~27萬元/坪"/>
    <x v="3"/>
    <n v="27"/>
    <x v="1"/>
    <m/>
    <m/>
    <m/>
    <s v="待定"/>
    <m/>
    <m/>
    <s v="80%"/>
    <s v="銷售中"/>
    <s v="2021年第四季"/>
    <x v="4"/>
    <s v="標準配備"/>
    <s v="二房(26~30坪) 、三房(36~40坪) 、四房(47坪) 、1+1房(16坪)"/>
    <s v="預售屋"/>
    <s v="A7XLK"/>
    <s v="住宅大樓 住商用"/>
    <s v="桃園市龜山區樂善二路"/>
    <s v="桃園市龜山區文化一路、樂善路口"/>
    <s v="和洲建設股份有限公司"/>
    <x v="22"/>
    <s v="寶佳集團"/>
    <s v="國城營造有限公司"/>
    <s v="君翊行銷-翊鼎國際"/>
    <s v="近捷運、明星學區、制震宅、近公園、重劃區"/>
    <s v="32%"/>
    <n v="0.32"/>
    <s v="3幢，3棟，210戶住家，11戶店面"/>
    <x v="34"/>
    <n v="11"/>
    <s v="45.54%"/>
    <n v="0.45540000000000003"/>
    <s v="地上15層，地下3~4層"/>
    <x v="0"/>
    <s v="平面式226個"/>
    <s v="待定"/>
    <s v="1:1.02"/>
    <x v="7"/>
    <s v="RC"/>
    <s v="1359.03坪"/>
    <x v="29"/>
    <s v="住商用"/>
    <x v="4"/>
    <s v="國原保全"/>
    <s v="暫無"/>
    <s v="108桃市都建執照字第00611號等1個"/>
    <s v="拓璞聯合建築師事務所"/>
    <s v="暫無"/>
  </r>
  <r>
    <s v="412"/>
    <x v="3"/>
    <s v="君邑丘比特"/>
    <x v="36"/>
    <s v="fig/AiCity-939-邱比特.jpg"/>
    <s v="https://newhouse.591.com.tw/home/housing/detail?hid=121781&amp;"/>
    <s v="27.8~32萬元/坪"/>
    <x v="12"/>
    <n v="32"/>
    <x v="14"/>
    <m/>
    <m/>
    <m/>
    <s v="180~230萬"/>
    <n v="180"/>
    <n v="230"/>
    <s v="80%"/>
    <s v="銷售中"/>
    <s v="2022年上半年"/>
    <x v="7"/>
    <s v="標準配備"/>
    <s v="二房(25~28坪) 、三房(38~40坪) 、四房(47坪) 、3+1房(46坪)"/>
    <s v="預售屋"/>
    <s v="A7XLK"/>
    <s v="住宅大樓 住家用"/>
    <s v="桃園市龜山區文吉路"/>
    <s v="桃園市龜山區文桃路 "/>
    <s v="君悅建設有限公司"/>
    <x v="23"/>
    <s v="君悅建設"/>
    <s v="捷堡營造工程有限公司"/>
    <s v="捷堡營造工程有限公司"/>
    <s v="近捷運、明星學區、景觀宅、制震宅、近公園、重劃區、低首付"/>
    <s v="32.46~33.79%"/>
    <n v="0.33129999999999998"/>
    <s v="1幢，4棟，173戶住家，5戶店面"/>
    <x v="3"/>
    <n v="5"/>
    <n v="0.46150000000000002"/>
    <n v="0.46150000000000002"/>
    <s v="地上15層，地下4層"/>
    <x v="0"/>
    <s v="平面式190個"/>
    <s v="待定"/>
    <s v="1:1.07"/>
    <x v="20"/>
    <s v="RC"/>
    <s v="1030.74坪"/>
    <x v="34"/>
    <s v="住商用"/>
    <x v="4"/>
    <s v="暫無"/>
    <s v="暫無"/>
    <s v="108桃市都建執照字第00488-01號等1個"/>
    <s v="拓璞聯合建築師事務所"/>
    <s v="暫無"/>
  </r>
  <r>
    <s v="413"/>
    <x v="3"/>
    <s v="頤昌璞岳"/>
    <x v="37"/>
    <s v="fig/AiCity-939-頤昌璞岳.jpeg"/>
    <s v="https://newhouse.591.com.tw/home/housing/detail?hid=124978"/>
    <s v="32~33 萬/坪"/>
    <x v="13"/>
    <n v="33"/>
    <x v="5"/>
    <m/>
    <m/>
    <m/>
    <s v="待定"/>
    <m/>
    <m/>
    <s v="待定"/>
    <s v="已完銷"/>
    <s v="2022年第三季度"/>
    <x v="11"/>
    <s v="標準配備"/>
    <s v="二房(27~29坪) 、 三房(36~39坪) 、 四房(45坪)"/>
    <s v="預售屋"/>
    <s v="A7XLK"/>
    <s v="住宅大樓 住家用"/>
    <s v="桃園市龜山區樂捷段253地號"/>
    <s v="桃園市龜山區文樂路、樂善一路交叉口附近 "/>
    <s v="頤昌建設股份有限公司"/>
    <x v="20"/>
    <s v="頤昌建設"/>
    <s v="晉福營造有限公司"/>
    <s v="鈞驛廣告"/>
    <s v="周邊環境，基地鄰近文青雙語中小學(預定地)，車程7分鐘可至A8長庚商圈，生活採買方面，車程4分鐘可達頂好超市，距全聯(林口復興店)約8分鐘車程。交通方面，車程5分鐘可至機場捷運A7體育大學站，亦有國道一號林口交流道可利用。"/>
    <n v="0.32100000000000001"/>
    <n v="0.32100000000000001"/>
    <s v="1幢，2棟，124戶住家，11戶店面"/>
    <x v="35"/>
    <n v="11"/>
    <n v="0.51349999999999996"/>
    <n v="0.51349999999999996"/>
    <s v="地上14層，地下4層"/>
    <x v="1"/>
    <s v="平面式136個"/>
    <s v="待定"/>
    <s v="1:1.01"/>
    <x v="8"/>
    <s v="RC"/>
    <s v="595.29坪"/>
    <x v="35"/>
    <s v="住商用"/>
    <x v="4"/>
    <s v="暫無"/>
    <s v="暫無"/>
    <s v="109桃市都建執照字第00379-01號"/>
    <s v="閤康聯合建築師事務所"/>
    <s v="暫無"/>
  </r>
  <r>
    <s v="414"/>
    <x v="3"/>
    <s v="合謙學"/>
    <x v="38"/>
    <s v="fig/AiCity-939-合謙學.webp"/>
    <s v="https://newhouse.591.com.tw/home/housing/detail?hid=126450"/>
    <s v="32~35 萬/坪"/>
    <x v="13"/>
    <n v="35"/>
    <x v="15"/>
    <m/>
    <m/>
    <m/>
    <s v="待定"/>
    <m/>
    <m/>
    <s v="待定"/>
    <s v="銷售中"/>
    <s v="2022年第二季度"/>
    <x v="7"/>
    <s v="標準配備"/>
    <s v="二房(25坪) 、 三房(34~37坪) 、 2+1房(26坪)"/>
    <s v="預售屋"/>
    <s v="A7XLK"/>
    <s v="住宅大樓 住家用"/>
    <s v="桃園市龜山區樂善一路與牛角坡路口"/>
    <s v="桃園市龜山區樂善一路與牛角坡路口"/>
    <s v="合謙建設股份有限公司"/>
    <x v="24"/>
    <s v="合謙建設"/>
    <s v="洛城營造有限公司"/>
    <s v="翰永興業股份有限公司"/>
    <s v="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
    <n v="0.32500000000000001"/>
    <n v="0.32500000000000001"/>
    <s v="1幢，2棟，106戶住家"/>
    <x v="36"/>
    <n v="0"/>
    <n v="0.45660000000000001"/>
    <n v="0.45660000000000001"/>
    <s v="地上14層，地下4層"/>
    <x v="1"/>
    <s v="平面式96個"/>
    <s v="70元/坪/月"/>
    <s v="1:0.91"/>
    <x v="11"/>
    <s v="RC"/>
    <s v="1030.74坪"/>
    <x v="34"/>
    <s v="住家用"/>
    <x v="4"/>
    <m/>
    <m/>
    <m/>
    <m/>
    <m/>
  </r>
  <r>
    <s v="415"/>
    <x v="3"/>
    <s v="大亮時代A7"/>
    <x v="39"/>
    <s v="fig/AiCity-939-大亮時代A7.jpeg"/>
    <s v="https://newhouse.591.com.tw/home/housing/detail?hid=125949"/>
    <s v="35~36 萬/坪"/>
    <x v="6"/>
    <n v="36"/>
    <x v="13"/>
    <m/>
    <m/>
    <m/>
    <s v="148~169萬"/>
    <n v="148"/>
    <n v="169"/>
    <s v="80%"/>
    <s v="銷售中"/>
    <s v="2023年第四季度"/>
    <x v="9"/>
    <s v="標準配備"/>
    <s v="二房(15.8~23.2坪) 、 三房(26.2坪)"/>
    <s v="預售屋"/>
    <s v="A7XLK"/>
    <s v="住宅大樓 住家用"/>
    <s v="桃園市龜山區善捷段166地號"/>
    <s v="桃園市龜山區文化一路、樂善二路口"/>
    <s v="大亮建築股份有限公司"/>
    <x v="25"/>
    <s v="大亮建築"/>
    <s v="大亮營造股份有限公司"/>
    <s v="大亮建築股份有限公司"/>
    <s v="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
    <n v="0.33900000000000002"/>
    <n v="0.33900000000000002"/>
    <s v="1幢，1棟，87戶一般事務所，3戶店面，45戶住家"/>
    <x v="37"/>
    <n v="3"/>
    <n v="0.50270000000000004"/>
    <n v="0.50270000000000004"/>
    <s v="地上15層，地下4層"/>
    <x v="0"/>
    <s v="平面式49個"/>
    <s v="30元/坪/月"/>
    <s v="1:0.36"/>
    <x v="21"/>
    <s v="RC"/>
    <s v="332.5坪"/>
    <x v="36"/>
    <s v="住商用"/>
    <x v="3"/>
    <m/>
    <m/>
    <s v="110桃市都建執照字第00147號"/>
    <s v="王成維建築師事務所"/>
    <s v="暫無"/>
  </r>
  <r>
    <s v="501"/>
    <x v="4"/>
    <s v="新未來1"/>
    <x v="40"/>
    <s v="fig/AiCity-939-新未來1.jpg"/>
    <s v="https://newhouse.591.com.tw/home/housing/detail?hid=113056"/>
    <s v="33~38萬元/坪"/>
    <x v="11"/>
    <n v="38"/>
    <x v="13"/>
    <s v="A7 遠雄新未來1 幸福住戶討論區"/>
    <s v="https://www.facebook.com/groups/254570162464632"/>
    <m/>
    <m/>
    <m/>
    <m/>
    <s v="80%"/>
    <s v="已完銷"/>
    <s v="2021年下半年"/>
    <x v="4"/>
    <s v="標準配備"/>
    <s v="二房(28~32坪) 、三房(42~50坪)"/>
    <s v="預售屋"/>
    <s v="A7XLK"/>
    <s v="住宅大樓 住商用"/>
    <s v="桃園市龜山區樂善一路10號 "/>
    <s v="桃園市龜山區樂善一路10號 "/>
    <s v="遠雄建設事業股份有限公司"/>
    <x v="21"/>
    <s v="遠雄建設"/>
    <s v="遠雄營造"/>
    <s v="遠雄房地產"/>
    <s v="近捷運、景觀宅、近公園、重劃區、低首付"/>
    <n v="0.33"/>
    <n v="0.33"/>
    <s v="3棟，807戶住家，14戶店面，3個商場"/>
    <x v="38"/>
    <n v="14"/>
    <n v="0.57020000000000004"/>
    <n v="0.57020000000000004"/>
    <s v="地上28層，地下5層"/>
    <x v="7"/>
    <s v="平面式648個、機械式84個"/>
    <s v="60元/坪/月"/>
    <s v="1:0.89"/>
    <x v="22"/>
    <s v="RC"/>
    <s v="2890坪"/>
    <x v="37"/>
    <s v="住商用"/>
    <x v="3"/>
    <s v="暫無"/>
    <s v="暫無"/>
    <s v="(106)桃市都建執照字第會龜00035號"/>
    <s v="原大聯合建築師事務所"/>
    <s v="暫無"/>
  </r>
  <r>
    <s v="502"/>
    <x v="4"/>
    <s v="富宇天匯"/>
    <x v="41"/>
    <s v="fig/AiCity-939-富宇天匯.jpg"/>
    <s v="https://newhouse.591.com.tw/home/housing/detail?hid=121159&amp;v=720"/>
    <s v="39~43萬元/坪"/>
    <x v="14"/>
    <n v="43"/>
    <x v="16"/>
    <m/>
    <m/>
    <m/>
    <s v="160~205萬"/>
    <n v="160"/>
    <n v="205"/>
    <s v="80%"/>
    <s v="銷售中"/>
    <s v="2023年第二季度"/>
    <x v="12"/>
    <s v="標準配備"/>
    <s v="二房(20.86坪) 、三房(34~38坪) 、2+1房(27~28坪) 、3+1房(40、41坪)"/>
    <s v="預售屋"/>
    <s v="A7XLK"/>
    <s v="住宅大樓 住商用"/>
    <s v="桃園市龜山區善捷段287地號"/>
    <s v="桃園縣龜山鄉文化一路、文青路旁"/>
    <s v="富宇建設股份有限公司"/>
    <x v="4"/>
    <s v="富宇建設"/>
    <s v="盛傑營造有限公司"/>
    <s v="華昱廣告"/>
    <s v="近捷運、景觀宅、近公園、重劃區、低首付"/>
    <n v="0.33500000000000002"/>
    <n v="0.33500000000000002"/>
    <s v="2幢，4棟，266戶住家，4戶店面"/>
    <x v="16"/>
    <n v="4"/>
    <n v="0.49540000000000001"/>
    <n v="0.49540000000000001"/>
    <s v="地上15層，地下4層"/>
    <x v="0"/>
    <s v="平面式260個、機械式18個"/>
    <s v="70元/坪/月"/>
    <s v="1:1.03"/>
    <x v="1"/>
    <s v="RC"/>
    <s v="1471.38坪"/>
    <x v="38"/>
    <s v="住商用"/>
    <x v="4"/>
    <s v="暫無"/>
    <s v="暫無"/>
    <s v="108桃市都建執照字第01027號"/>
    <s v="徐瑞燦建築師事務所"/>
    <s v="暫無"/>
  </r>
  <r>
    <s v="503"/>
    <x v="4"/>
    <s v="竹城明治"/>
    <x v="42"/>
    <s v="fig/AiCity-939-竹城明治.jpg"/>
    <s v="https://newhouse.591.com.tw/home/housing/detail?hid=120762"/>
    <s v="28~30萬元/坪"/>
    <x v="0"/>
    <n v="30"/>
    <x v="17"/>
    <m/>
    <m/>
    <m/>
    <m/>
    <m/>
    <m/>
    <s v="80%"/>
    <s v="銷售中"/>
    <s v="隨時交屋"/>
    <x v="2"/>
    <s v="標準配備"/>
    <s v="二房(25~28坪) 、三房(34~40坪) 、四房(43坪)"/>
    <s v="新成屋"/>
    <s v="A7XLK"/>
    <s v="住宅大樓 住商用"/>
    <s v="桃園市龜山區文青路363號對面"/>
    <s v="桃園市龜山區文青路378號"/>
    <s v="竹城建設股份有限公司"/>
    <x v="16"/>
    <s v="竹城建設"/>
    <s v="大裕營造有限公司"/>
    <s v="自建自售"/>
    <s v="近捷運、近公園、重劃區"/>
    <n v="0.32"/>
    <n v="0.32"/>
    <s v="1幢，6棟，168戶住家，5戶店面"/>
    <x v="39"/>
    <n v="5"/>
    <s v="45.56%"/>
    <n v="0.4556"/>
    <s v="地上13層，地下3層"/>
    <x v="9"/>
    <s v="平面式81個、機械式68個"/>
    <s v="待定"/>
    <s v="1:0.86"/>
    <x v="14"/>
    <s v="RC"/>
    <s v="961.25坪"/>
    <x v="39"/>
    <s v="住商用"/>
    <x v="4"/>
    <s v="暫無"/>
    <s v="暫無"/>
    <s v="(107)桃市都建執照字第會龜00995-01號等1個"/>
    <s v="徐瑞燦建築師事務所"/>
    <s v="109桃市都施使字第龜00492號"/>
  </r>
  <r>
    <s v="504"/>
    <x v="4"/>
    <s v="竹城宇治"/>
    <x v="43"/>
    <s v="fig/AiCity-939-竹城宇治.jpg"/>
    <s v="https://newhouse.591.com.tw/home/housing/detail?hid=115863"/>
    <s v="30 萬/坪 "/>
    <x v="4"/>
    <n v="30"/>
    <x v="10"/>
    <m/>
    <m/>
    <m/>
    <s v="170~185萬"/>
    <n v="170"/>
    <n v="185"/>
    <s v="80%"/>
    <s v="已完銷"/>
    <s v="隨時交屋"/>
    <x v="2"/>
    <s v="標準配備"/>
    <s v="二房(25坪) 、 三房(38坪) 、 2+1房(28坪)"/>
    <s v="新成屋"/>
    <s v="A7XLK"/>
    <s v="住宅大樓 住商用"/>
    <s v="桃園市龜山區文青路378號"/>
    <s v="桃園市龜山區文青路378號"/>
    <s v="竹城機構-仲城建設股份有限公司"/>
    <x v="16"/>
    <s v="竹城建設"/>
    <s v=" 大裕營造有限公司"/>
    <s v="竹城機構-仲城建設股份有限公司"/>
    <s v="周邊環境，距學區為樂善國小車程7分鐘即可到達，大岡國中約車程10分鐘，生活採買可至全聯福利中心或龜山黃昏市場。交通方面車程10~15分鐘可到林口交流道，往來大台北地區便利，或者是可走青山路車程10分鐘連接新莊。"/>
    <n v="0.315"/>
    <n v="0.315"/>
    <s v="3棟，103戶住家，6戶店面"/>
    <x v="40"/>
    <n v="6"/>
    <n v="0.45700000000000002"/>
    <n v="0.45700000000000002"/>
    <s v="地上13層，地下3層"/>
    <x v="9"/>
    <s v="平面式82個"/>
    <s v="80元/坪/月"/>
    <s v="1:0.75"/>
    <x v="23"/>
    <s v="RC"/>
    <s v="638.13坪"/>
    <x v="40"/>
    <s v="住商用"/>
    <x v="4"/>
    <m/>
    <m/>
    <s v="(106)桃市都建執照字第會龜01145 號等2個"/>
    <s v="徐瑞燦建築師事務所"/>
    <s v="(108)桃市都施使字第龜00515號"/>
  </r>
  <r>
    <s v="505"/>
    <x v="4"/>
    <s v="櫻花澍"/>
    <x v="44"/>
    <s v="fig/AiCity-939-櫻花澍.webp"/>
    <s v="https://newhouse.591.com.tw/home/housing/detail?hid=124447"/>
    <s v="28~32 萬/坪"/>
    <x v="0"/>
    <n v="32"/>
    <x v="10"/>
    <s v="A7櫻花澍已購戶討論區"/>
    <s v="https://www.facebook.com/groups/1271297159886163"/>
    <m/>
    <s v="165~195萬"/>
    <n v="165"/>
    <n v="195"/>
    <s v="80%"/>
    <s v="已完銷"/>
    <s v="2021年第四季度"/>
    <x v="4"/>
    <s v="標準配備"/>
    <s v="二房(25坪) 、 三房(35坪)"/>
    <s v="預售屋"/>
    <s v="A7XLK"/>
    <s v="住宅大樓 住商用"/>
    <s v="桃園市龜山區文青二路"/>
    <s v="桃園市龜山區文青路179號1F "/>
    <s v="櫻花建設股份有限公司"/>
    <x v="26"/>
    <s v="櫻花建設"/>
    <s v="國城營造有限公司"/>
    <s v="新高思廣告有限公司"/>
    <s v="學區方面，鄰近文青雙語國中小預定地，生活採買方面，步行4分鐘可達美廉社(龜山文青店)，車程10分鐘可至全聯福利中心(龜山興華店)。交通方面，步行8分鐘可至機捷A7體育大學站，亦有國道一號林口交流道可利用。"/>
    <n v="0.32"/>
    <n v="0.32"/>
    <s v="1幢，2棟，106戶住家，2戶店面"/>
    <x v="36"/>
    <n v="2"/>
    <n v="0.38140000000000002"/>
    <n v="0.38140000000000002"/>
    <s v="地上14層，地下4層"/>
    <x v="1"/>
    <s v="平面式108個"/>
    <s v="65元/坪/月"/>
    <s v="1:1"/>
    <x v="2"/>
    <s v="RC"/>
    <s v="602.07坪"/>
    <x v="41"/>
    <s v="住商用"/>
    <x v="4"/>
    <m/>
    <s v="暫無"/>
    <s v="108桃市都建執照字第00713-01號"/>
    <s v="張建鴻建築師事務所"/>
    <s v="暫無"/>
  </r>
  <r>
    <s v="506"/>
    <x v="4"/>
    <s v="遠雄文青"/>
    <x v="45"/>
    <s v="fig/AiCity-939-遠雄文青.jpg"/>
    <s v="https://www.farglory-land.com.tw/leasehold/%E9%81%A0%E9%9B%84%E6%99%82%E4%BB%A3%E7%B8%BD%E9%83%A8-2/"/>
    <s v="2021/8:22.7萬元/坪"/>
    <x v="15"/>
    <n v="15"/>
    <x v="18"/>
    <s v="A7 遠雄文青 住戶討論區"/>
    <s v="https://www.facebook.com/groups/675455015969962"/>
    <m/>
    <m/>
    <m/>
    <m/>
    <s v="80%"/>
    <s v="已完銷"/>
    <s v="隨時交屋"/>
    <x v="2"/>
    <s v="標準配備"/>
    <m/>
    <s v="新成屋"/>
    <s v="A7XLK"/>
    <s v="住宅大樓 住商用"/>
    <s v="桃園市龜山區文青路179號"/>
    <s v="桃園市龜山區文青路179號"/>
    <m/>
    <x v="21"/>
    <s v="遠雄建設"/>
    <m/>
    <m/>
    <m/>
    <m/>
    <m/>
    <m/>
    <x v="41"/>
    <m/>
    <m/>
    <m/>
    <m/>
    <x v="10"/>
    <m/>
    <m/>
    <m/>
    <x v="24"/>
    <s v="RC"/>
    <m/>
    <x v="42"/>
    <s v="住商用"/>
    <x v="4"/>
    <m/>
    <m/>
    <m/>
    <m/>
    <m/>
  </r>
  <r>
    <s v="507"/>
    <x v="4"/>
    <s v="皇翔歡喜城"/>
    <x v="46"/>
    <s v="fig/AiCity-939-皇翔歡喜城.jpg"/>
    <s v="https://www.uppercity.tw/"/>
    <s v="2021/8:20.0萬元/坪"/>
    <x v="15"/>
    <n v="15"/>
    <x v="18"/>
    <s v="A7皇翔歡喜城"/>
    <s v="https://www.facebook.com/groups/521969711190884"/>
    <m/>
    <m/>
    <m/>
    <m/>
    <s v="80%"/>
    <s v="已完銷"/>
    <s v="隨時交屋"/>
    <x v="2"/>
    <s v="標準配備"/>
    <m/>
    <s v="新成屋"/>
    <s v="A7XLK"/>
    <s v="住宅大樓 住商用"/>
    <s v="園市龜山區文青二路9-11號"/>
    <m/>
    <m/>
    <x v="27"/>
    <s v="皇翔建設"/>
    <m/>
    <m/>
    <m/>
    <m/>
    <m/>
    <m/>
    <x v="42"/>
    <m/>
    <m/>
    <m/>
    <m/>
    <x v="10"/>
    <m/>
    <m/>
    <m/>
    <x v="24"/>
    <s v="RC"/>
    <m/>
    <x v="42"/>
    <s v="住商用"/>
    <x v="4"/>
    <m/>
    <m/>
    <m/>
    <m/>
    <m/>
  </r>
  <r>
    <s v="508"/>
    <x v="4"/>
    <s v="名軒快樂家"/>
    <x v="47"/>
    <s v="fig/AiCity-939-名軒快樂家.jpg"/>
    <s v="https://www.advancetek.com.tw/%E7%86%B1%E9%8A%B7%E5%80%8B%E6%A1%88/%E5%90%8D%E8%BB%92%E5%BF%AB%E6%A8%82%E5%AE%B6%E5%90%88%E5%AE%9C%E4%BD%8F%E5%AE%85a7_c%E5%9F%BA%E5%9C%B0/"/>
    <s v="2021/8:21.7萬元/坪"/>
    <x v="15"/>
    <n v="15"/>
    <x v="18"/>
    <s v="名軒快樂家-住戶專區"/>
    <s v="https://www.facebook.com/groups/671624019658641"/>
    <m/>
    <m/>
    <m/>
    <m/>
    <s v="80%"/>
    <s v="已完銷"/>
    <s v="隨時交屋"/>
    <x v="2"/>
    <s v="標準配備"/>
    <m/>
    <s v="新成屋"/>
    <s v="A7XLK"/>
    <s v="住宅大樓 住商用"/>
    <s v="桃園市龜山區文學路237-247號號"/>
    <m/>
    <m/>
    <x v="28"/>
    <s v="名軒開發"/>
    <m/>
    <m/>
    <m/>
    <m/>
    <m/>
    <m/>
    <x v="43"/>
    <m/>
    <m/>
    <m/>
    <m/>
    <x v="10"/>
    <m/>
    <m/>
    <m/>
    <x v="24"/>
    <s v="RC"/>
    <m/>
    <x v="42"/>
    <s v="住商用"/>
    <x v="4"/>
    <m/>
    <m/>
    <m/>
    <m/>
    <m/>
  </r>
  <r>
    <s v="509"/>
    <x v="4"/>
    <s v="麗寶快樂家"/>
    <x v="48"/>
    <s v="fig/AiCity-939-麗寶快樂家.jpg"/>
    <s v="http://lihpao.com.tw/appropriate/build.html"/>
    <s v="2021/8:21.0萬元/坪"/>
    <x v="15"/>
    <n v="15"/>
    <x v="18"/>
    <s v="A7 麗寶快樂家社區~住戶專區"/>
    <s v="https://www.facebook.com/groups/A7happyhome"/>
    <m/>
    <m/>
    <m/>
    <m/>
    <s v="80%"/>
    <s v="已完銷"/>
    <s v="隨時交屋"/>
    <x v="2"/>
    <s v="標準配備"/>
    <m/>
    <s v="新成屋"/>
    <s v="A7XLK"/>
    <s v="住宅大樓 住商用"/>
    <s v="桃園市龜山區文青一路12號"/>
    <m/>
    <m/>
    <x v="29"/>
    <s v="麗寶建設"/>
    <m/>
    <m/>
    <m/>
    <m/>
    <m/>
    <m/>
    <x v="44"/>
    <m/>
    <m/>
    <m/>
    <m/>
    <x v="10"/>
    <m/>
    <m/>
    <m/>
    <x v="24"/>
    <s v="RC"/>
    <m/>
    <x v="42"/>
    <s v="住商用"/>
    <x v="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A3CA2B-B6E6-A64B-BB28-39916B3C266F}" name="樞紐分析表1"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53" firstHeaderRow="0" firstDataRow="1" firstDataCol="1" rowPageCount="1" colPageCount="1"/>
  <pivotFields count="56">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6">
        <item x="37"/>
        <item x="40"/>
        <item x="36"/>
        <item x="20"/>
        <item x="35"/>
        <item x="12"/>
        <item x="31"/>
        <item x="39"/>
        <item x="3"/>
        <item x="5"/>
        <item x="4"/>
        <item x="1"/>
        <item x="6"/>
        <item x="9"/>
        <item x="22"/>
        <item x="34"/>
        <item x="17"/>
        <item x="14"/>
        <item x="27"/>
        <item x="19"/>
        <item x="16"/>
        <item x="0"/>
        <item x="21"/>
        <item x="10"/>
        <item x="2"/>
        <item x="29"/>
        <item x="28"/>
        <item x="32"/>
        <item x="15"/>
        <item x="11"/>
        <item x="23"/>
        <item x="30"/>
        <item x="13"/>
        <item x="33"/>
        <item x="25"/>
        <item x="26"/>
        <item x="18"/>
        <item x="38"/>
        <item x="7"/>
        <item x="8"/>
        <item x="24"/>
        <item x="41"/>
        <item x="42"/>
        <item x="43"/>
        <item x="44"/>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2">
    <i>
      <x/>
    </i>
    <i i="1">
      <x v="1"/>
    </i>
  </colItems>
  <pageFields count="1">
    <pageField fld="36" hier="-1"/>
  </pageFields>
  <dataFields count="2">
    <dataField name="加總 - 住家戶數" fld="36" baseField="0" baseItem="0"/>
    <dataField name="加總 - 商店戶數" fld="37" baseField="0" baseItem="0"/>
  </dataFields>
  <chartFormats count="2">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 type="captionNotEqual" evalOrder="-1" id="2" stringValue1="">
      <autoFilter ref="A1">
        <filterColumn colId="0">
          <customFilters>
            <customFilter operator="notEqual" val=" "/>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A3B06-44FC-DF47-95B9-374674E5983F}" name="樞紐分析表2"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7">
  <location ref="A3:C49" firstHeaderRow="0" firstDataRow="1" firstDataCol="1" rowPageCount="1" colPageCount="1"/>
  <pivotFields count="56">
    <pivotField showAll="0"/>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dataField="1" numFmtId="177" multipleItemSelectionAllowed="1" showAll="0">
      <items count="17">
        <item h="1" x="15"/>
        <item x="7"/>
        <item x="2"/>
        <item x="3"/>
        <item x="1"/>
        <item x="5"/>
        <item x="12"/>
        <item x="0"/>
        <item x="8"/>
        <item x="4"/>
        <item x="9"/>
        <item x="10"/>
        <item x="13"/>
        <item x="11"/>
        <item x="6"/>
        <item x="14"/>
        <item t="default"/>
      </items>
    </pivotField>
    <pivotField dataField="1"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每坪價-最低" fld="7" subtotal="average" baseField="0" baseItem="0" numFmtId="176"/>
    <dataField name="平均值 - 每坪價-最高" fld="8" subtotal="average" baseField="0" baseItem="0" numFmtId="176"/>
  </dataFields>
  <formats count="3">
    <format dxfId="9">
      <pivotArea outline="0" collapsedLevelsAreSubtotals="1" fieldPosition="0"/>
    </format>
    <format dxfId="8">
      <pivotArea outline="0" fieldPosition="0">
        <references count="1">
          <reference field="4294967294" count="1">
            <x v="0"/>
          </reference>
        </references>
      </pivotArea>
    </format>
    <format dxfId="7">
      <pivotArea outline="0" fieldPosition="0">
        <references count="1">
          <reference field="4294967294" count="1">
            <x v="1"/>
          </reference>
        </references>
      </pivotArea>
    </format>
  </format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C48516-4469-E144-BC4C-C411D0731588}" name="樞紐分析表4"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C49" firstHeaderRow="0"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2">
    <i>
      <x/>
    </i>
    <i i="1">
      <x v="1"/>
    </i>
  </colItems>
  <pageFields count="1">
    <pageField fld="7" hier="-1"/>
  </pageFields>
  <dataFields count="2">
    <dataField name="平均值 - 公設比例" fld="34" subtotal="average" baseField="0" baseItem="0" numFmtId="10"/>
    <dataField name="平均值 - 建蔽比率" fld="39" subtotal="average" baseField="0" baseItem="0" numFmtId="10"/>
  </dataFields>
  <formats count="1">
    <format dxfId="6">
      <pivotArea outline="0" collapsedLevelsAreSubtotals="1" fieldPosition="0">
        <references count="1">
          <reference field="4294967294" count="2" selected="0">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3E605F-0935-CE47-93A7-EE637CD6D22D}" name="樞紐分析表3"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60" firstHeaderRow="1" firstDataRow="1" firstDataCol="1" rowPageCount="1" colPageCount="1"/>
  <pivotFields count="56">
    <pivotField showAll="0"/>
    <pivotField showAll="0"/>
    <pivotField dataField="1"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axis="axisPage" numFmtId="177" multipleItemSelectionAllowed="1" showAll="0">
      <items count="17">
        <item h="1" x="15"/>
        <item x="7"/>
        <item x="2"/>
        <item x="3"/>
        <item x="1"/>
        <item x="5"/>
        <item x="12"/>
        <item x="0"/>
        <item x="8"/>
        <item x="4"/>
        <item x="9"/>
        <item x="10"/>
        <item x="13"/>
        <item x="11"/>
        <item x="6"/>
        <item x="14"/>
        <item t="default"/>
      </items>
    </pivotField>
    <pivotField numFmtId="177" showAll="0"/>
    <pivotField numFmtId="177" showAll="0"/>
    <pivotField showAll="0"/>
    <pivotField showAll="0"/>
    <pivotField showAll="0"/>
    <pivotField showAll="0"/>
    <pivotField showAll="0"/>
    <pivotField showAll="0"/>
    <pivotField showAll="0"/>
    <pivotField showAll="0"/>
    <pivotField showAll="0"/>
    <pivotField axis="axisRow" showAll="0">
      <items count="14">
        <item x="2"/>
        <item x="3"/>
        <item x="4"/>
        <item x="1"/>
        <item x="7"/>
        <item x="11"/>
        <item x="0"/>
        <item x="5"/>
        <item x="12"/>
        <item x="9"/>
        <item x="6"/>
        <item x="8"/>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9"/>
    <field x="3"/>
  </rowFields>
  <rowItems count="57">
    <i>
      <x/>
    </i>
    <i r="1">
      <x v="2"/>
    </i>
    <i r="1">
      <x v="3"/>
    </i>
    <i r="1">
      <x v="6"/>
    </i>
    <i r="1">
      <x v="9"/>
    </i>
    <i r="1">
      <x v="11"/>
    </i>
    <i r="1">
      <x v="17"/>
    </i>
    <i r="1">
      <x v="18"/>
    </i>
    <i r="1">
      <x v="21"/>
    </i>
    <i r="1">
      <x v="26"/>
    </i>
    <i r="1">
      <x v="30"/>
    </i>
    <i r="1">
      <x v="42"/>
    </i>
    <i r="1">
      <x v="43"/>
    </i>
    <i>
      <x v="1"/>
    </i>
    <i r="1">
      <x v="4"/>
    </i>
    <i r="1">
      <x v="22"/>
    </i>
    <i>
      <x v="2"/>
    </i>
    <i r="1">
      <x v="5"/>
    </i>
    <i r="1">
      <x v="10"/>
    </i>
    <i r="1">
      <x v="16"/>
    </i>
    <i r="1">
      <x v="19"/>
    </i>
    <i r="1">
      <x v="23"/>
    </i>
    <i r="1">
      <x v="25"/>
    </i>
    <i r="1">
      <x v="29"/>
    </i>
    <i r="1">
      <x v="35"/>
    </i>
    <i r="1">
      <x v="40"/>
    </i>
    <i r="1">
      <x v="44"/>
    </i>
    <i>
      <x v="3"/>
    </i>
    <i r="1">
      <x v="1"/>
    </i>
    <i r="1">
      <x v="20"/>
    </i>
    <i r="1">
      <x v="32"/>
    </i>
    <i>
      <x v="4"/>
    </i>
    <i r="1">
      <x v="13"/>
    </i>
    <i r="1">
      <x v="33"/>
    </i>
    <i r="1">
      <x v="36"/>
    </i>
    <i r="1">
      <x v="38"/>
    </i>
    <i>
      <x v="5"/>
    </i>
    <i r="1">
      <x v="37"/>
    </i>
    <i>
      <x v="6"/>
    </i>
    <i r="1">
      <x/>
    </i>
    <i r="1">
      <x v="12"/>
    </i>
    <i r="1">
      <x v="28"/>
    </i>
    <i>
      <x v="7"/>
    </i>
    <i r="1">
      <x v="7"/>
    </i>
    <i>
      <x v="8"/>
    </i>
    <i r="1">
      <x v="41"/>
    </i>
    <i>
      <x v="9"/>
    </i>
    <i r="1">
      <x v="15"/>
    </i>
    <i r="1">
      <x v="27"/>
    </i>
    <i r="1">
      <x v="31"/>
    </i>
    <i r="1">
      <x v="34"/>
    </i>
    <i r="1">
      <x v="39"/>
    </i>
    <i>
      <x v="10"/>
    </i>
    <i r="1">
      <x v="8"/>
    </i>
    <i>
      <x v="11"/>
    </i>
    <i r="1">
      <x v="14"/>
    </i>
    <i t="grand">
      <x/>
    </i>
  </rowItems>
  <colItems count="1">
    <i/>
  </colItems>
  <pageFields count="1">
    <pageField fld="7" hier="-1"/>
  </pageFields>
  <dataFields count="1">
    <dataField name="計數 - 建案"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F300E8-2DA3-FD4D-8DB5-C4AF4C0B2B4D}" name="樞紐分析表5"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A83" firstHeaderRow="1" firstDataRow="1" firstDataCol="1"/>
  <pivotFields count="56">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3">
        <item x="25"/>
        <item x="8"/>
        <item x="9"/>
        <item m="1" x="31"/>
        <item x="15"/>
        <item x="24"/>
        <item x="28"/>
        <item x="16"/>
        <item m="1" x="30"/>
        <item x="23"/>
        <item x="2"/>
        <item x="3"/>
        <item x="22"/>
        <item x="19"/>
        <item x="0"/>
        <item x="6"/>
        <item x="10"/>
        <item x="7"/>
        <item x="27"/>
        <item x="4"/>
        <item x="17"/>
        <item x="11"/>
        <item x="12"/>
        <item x="21"/>
        <item x="14"/>
        <item x="20"/>
        <item x="13"/>
        <item x="18"/>
        <item x="1"/>
        <item x="29"/>
        <item x="2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8"/>
    <field x="3"/>
  </rowFields>
  <rowItems count="80">
    <i>
      <x/>
    </i>
    <i r="1">
      <x v="39"/>
    </i>
    <i>
      <x v="1"/>
    </i>
    <i r="1">
      <x v="12"/>
    </i>
    <i>
      <x v="2"/>
    </i>
    <i r="1">
      <x v="14"/>
    </i>
    <i>
      <x v="4"/>
    </i>
    <i r="1">
      <x v="21"/>
    </i>
    <i r="1">
      <x v="22"/>
    </i>
    <i r="1">
      <x v="24"/>
    </i>
    <i>
      <x v="5"/>
    </i>
    <i r="1">
      <x v="38"/>
    </i>
    <i>
      <x v="6"/>
    </i>
    <i r="1">
      <x v="47"/>
    </i>
    <i>
      <x v="7"/>
    </i>
    <i r="1">
      <x v="25"/>
    </i>
    <i r="1">
      <x v="42"/>
    </i>
    <i r="1">
      <x v="43"/>
    </i>
    <i>
      <x v="9"/>
    </i>
    <i r="1">
      <x v="36"/>
    </i>
    <i>
      <x v="10"/>
    </i>
    <i r="1">
      <x v="3"/>
    </i>
    <i r="1">
      <x v="4"/>
    </i>
    <i>
      <x v="11"/>
    </i>
    <i r="1">
      <x v="5"/>
    </i>
    <i>
      <x v="12"/>
    </i>
    <i r="1">
      <x v="35"/>
    </i>
    <i>
      <x v="13"/>
    </i>
    <i r="1">
      <x v="30"/>
    </i>
    <i>
      <x v="14"/>
    </i>
    <i r="1">
      <x/>
    </i>
    <i r="1">
      <x v="6"/>
    </i>
    <i>
      <x v="15"/>
    </i>
    <i r="1">
      <x v="9"/>
    </i>
    <i r="1">
      <x v="13"/>
    </i>
    <i>
      <x v="16"/>
    </i>
    <i r="1">
      <x v="15"/>
    </i>
    <i>
      <x v="17"/>
    </i>
    <i r="1">
      <x v="10"/>
    </i>
    <i>
      <x v="18"/>
    </i>
    <i r="1">
      <x v="46"/>
    </i>
    <i>
      <x v="19"/>
    </i>
    <i r="1">
      <x v="7"/>
    </i>
    <i r="1">
      <x v="11"/>
    </i>
    <i r="1">
      <x v="20"/>
    </i>
    <i r="1">
      <x v="31"/>
    </i>
    <i r="1">
      <x v="41"/>
    </i>
    <i>
      <x v="20"/>
    </i>
    <i r="1">
      <x v="28"/>
    </i>
    <i>
      <x v="21"/>
    </i>
    <i r="1">
      <x v="16"/>
    </i>
    <i>
      <x v="22"/>
    </i>
    <i r="1">
      <x v="17"/>
    </i>
    <i>
      <x v="23"/>
    </i>
    <i r="1">
      <x v="33"/>
    </i>
    <i r="1">
      <x v="34"/>
    </i>
    <i r="1">
      <x v="40"/>
    </i>
    <i r="1">
      <x v="45"/>
    </i>
    <i>
      <x v="24"/>
    </i>
    <i r="1">
      <x v="19"/>
    </i>
    <i>
      <x v="25"/>
    </i>
    <i r="1">
      <x v="32"/>
    </i>
    <i r="1">
      <x v="37"/>
    </i>
    <i>
      <x v="26"/>
    </i>
    <i r="1">
      <x v="18"/>
    </i>
    <i r="1">
      <x v="23"/>
    </i>
    <i>
      <x v="27"/>
    </i>
    <i r="1">
      <x v="29"/>
    </i>
    <i>
      <x v="28"/>
    </i>
    <i r="1">
      <x v="1"/>
    </i>
    <i r="1">
      <x v="2"/>
    </i>
    <i r="1">
      <x v="26"/>
    </i>
    <i r="1">
      <x v="27"/>
    </i>
    <i>
      <x v="29"/>
    </i>
    <i r="1">
      <x v="48"/>
    </i>
    <i>
      <x v="30"/>
    </i>
    <i r="1">
      <x v="44"/>
    </i>
    <i>
      <x v="31"/>
    </i>
    <i r="1">
      <x v="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7918C9-6258-454A-9359-2B209B13DC90}" name="樞紐分析表6"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3">
  <location ref="A3:B49" firstHeaderRow="1" firstDataRow="1" firstDataCol="1" rowPageCount="1" colPageCount="1"/>
  <pivotFields count="56">
    <pivotField showAll="0"/>
    <pivotField showAll="0"/>
    <pivotField showAll="0"/>
    <pivotField axis="axisRow"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
        <item x="36"/>
        <item x="35"/>
        <item x="41"/>
        <item x="40"/>
        <item x="20"/>
        <item x="15"/>
        <item x="4"/>
        <item x="9"/>
        <item x="22"/>
        <item x="12"/>
        <item x="27"/>
        <item x="31"/>
        <item x="3"/>
        <item x="39"/>
        <item x="34"/>
        <item x="5"/>
        <item x="6"/>
        <item x="1"/>
        <item x="16"/>
        <item x="17"/>
        <item x="19"/>
        <item x="13"/>
        <item x="29"/>
        <item x="10"/>
        <item x="21"/>
        <item x="38"/>
        <item x="28"/>
        <item x="14"/>
        <item x="0"/>
        <item x="2"/>
        <item x="32"/>
        <item x="23"/>
        <item x="26"/>
        <item x="25"/>
        <item x="30"/>
        <item x="33"/>
        <item x="11"/>
        <item x="18"/>
        <item x="37"/>
        <item x="7"/>
        <item x="24"/>
        <item x="8"/>
        <item h="1" x="42"/>
        <item t="default"/>
      </items>
    </pivotField>
    <pivotField showAll="0"/>
    <pivotField showAll="0"/>
    <pivotField showAll="0"/>
    <pivotField showAll="0"/>
    <pivotField showAll="0"/>
    <pivotField showAll="0"/>
    <pivotField showAll="0"/>
  </pivotFields>
  <rowFields count="1">
    <field x="3"/>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pageFields count="1">
    <pageField fld="48" hier="-1"/>
  </pageFields>
  <dataFields count="1">
    <dataField name="加總 - 建築面積" fld="48" baseField="0" baseItem="0" numFmtId="179"/>
  </dataFields>
  <formats count="1">
    <format dxfId="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A78E8CA-AA2E-4542-B594-47B469B1ECF7}" name="樞紐分析表7"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B49" firstHeaderRow="1"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12">
        <item x="9"/>
        <item x="1"/>
        <item x="0"/>
        <item x="5"/>
        <item x="6"/>
        <item x="2"/>
        <item x="7"/>
        <item x="8"/>
        <item x="4"/>
        <item x="3"/>
        <item h="1"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6">
    <i>
      <x v="43"/>
    </i>
    <i>
      <x v="42"/>
    </i>
    <i>
      <x v="23"/>
    </i>
    <i>
      <x v="37"/>
    </i>
    <i>
      <x v="38"/>
    </i>
    <i>
      <x v="44"/>
    </i>
    <i>
      <x v="3"/>
    </i>
    <i>
      <x v="20"/>
    </i>
    <i>
      <x v="4"/>
    </i>
    <i>
      <x v="22"/>
    </i>
    <i>
      <x v="10"/>
    </i>
    <i>
      <x v="9"/>
    </i>
    <i>
      <x v="11"/>
    </i>
    <i>
      <x v="13"/>
    </i>
    <i>
      <x v="29"/>
    </i>
    <i>
      <x v="18"/>
    </i>
    <i>
      <x v="30"/>
    </i>
    <i>
      <x v="1"/>
    </i>
    <i>
      <x v="32"/>
    </i>
    <i>
      <x/>
    </i>
    <i>
      <x v="35"/>
    </i>
    <i>
      <x v="8"/>
    </i>
    <i>
      <x v="36"/>
    </i>
    <i>
      <x v="21"/>
    </i>
    <i>
      <x v="41"/>
    </i>
    <i>
      <x v="5"/>
    </i>
    <i>
      <x v="17"/>
    </i>
    <i>
      <x v="6"/>
    </i>
    <i>
      <x v="2"/>
    </i>
    <i>
      <x v="39"/>
    </i>
    <i>
      <x v="19"/>
    </i>
    <i>
      <x v="28"/>
    </i>
    <i>
      <x v="24"/>
    </i>
    <i>
      <x v="33"/>
    </i>
    <i>
      <x v="34"/>
    </i>
    <i>
      <x v="25"/>
    </i>
    <i>
      <x v="31"/>
    </i>
    <i>
      <x v="12"/>
    </i>
    <i>
      <x v="16"/>
    </i>
    <i>
      <x v="7"/>
    </i>
    <i>
      <x v="40"/>
    </i>
    <i>
      <x v="26"/>
    </i>
    <i>
      <x v="27"/>
    </i>
    <i>
      <x v="15"/>
    </i>
    <i>
      <x v="14"/>
    </i>
    <i t="grand">
      <x/>
    </i>
  </rowItems>
  <colItems count="1">
    <i/>
  </colItems>
  <pageFields count="1">
    <pageField fld="41" hier="-1"/>
  </pageFields>
  <dataFields count="1">
    <dataField name="加總 - 樓層數" fld="41"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AA391D-DCC2-A047-A23D-C8888E109D7F}" name="樞紐分析表8"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location ref="A3:B49" firstHeaderRow="1" firstDataRow="1" firstDataCol="1" rowPageCount="1" colPageCount="1"/>
  <pivotFields count="56">
    <pivotField showAll="0"/>
    <pivotField showAll="0"/>
    <pivotField showAll="0"/>
    <pivotField axis="axisRow" showAll="0" sortType="ascending">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26">
        <item x="21"/>
        <item x="12"/>
        <item x="23"/>
        <item x="14"/>
        <item x="4"/>
        <item x="15"/>
        <item x="22"/>
        <item x="13"/>
        <item x="11"/>
        <item x="17"/>
        <item x="3"/>
        <item x="5"/>
        <item x="2"/>
        <item x="8"/>
        <item x="7"/>
        <item x="1"/>
        <item x="9"/>
        <item x="10"/>
        <item x="16"/>
        <item x="20"/>
        <item x="0"/>
        <item x="6"/>
        <item x="19"/>
        <item x="18"/>
        <item h="1" x="24"/>
        <item t="default"/>
      </items>
    </pivotField>
    <pivotField showAll="0"/>
    <pivotField showAll="0"/>
    <pivotField showAll="0"/>
    <pivotField showAll="0"/>
    <pivotField showAll="0"/>
    <pivotField showAll="0"/>
    <pivotField showAll="0"/>
    <pivotField showAll="0"/>
    <pivotField showAll="0"/>
    <pivotField showAll="0"/>
  </pivotFields>
  <rowFields count="1">
    <field x="3"/>
  </rowFields>
  <rowItems count="46">
    <i>
      <x v="39"/>
    </i>
    <i>
      <x v="16"/>
    </i>
    <i>
      <x v="43"/>
    </i>
    <i>
      <x v="20"/>
    </i>
    <i>
      <x v="42"/>
    </i>
    <i>
      <x v="17"/>
    </i>
    <i>
      <x v="4"/>
    </i>
    <i>
      <x v="25"/>
    </i>
    <i>
      <x v="40"/>
    </i>
    <i>
      <x v="19"/>
    </i>
    <i>
      <x v="30"/>
    </i>
    <i>
      <x v="38"/>
    </i>
    <i>
      <x v="15"/>
    </i>
    <i>
      <x v="27"/>
    </i>
    <i>
      <x v="3"/>
    </i>
    <i>
      <x v="5"/>
    </i>
    <i>
      <x v="22"/>
    </i>
    <i>
      <x v="29"/>
    </i>
    <i>
      <x v="6"/>
    </i>
    <i>
      <x v="18"/>
    </i>
    <i>
      <x v="24"/>
    </i>
    <i>
      <x v="10"/>
    </i>
    <i>
      <x v="23"/>
    </i>
    <i>
      <x v="44"/>
    </i>
    <i>
      <x v="2"/>
    </i>
    <i>
      <x v="34"/>
    </i>
    <i>
      <x v="31"/>
    </i>
    <i>
      <x v="37"/>
    </i>
    <i>
      <x v="13"/>
    </i>
    <i>
      <x v="28"/>
    </i>
    <i>
      <x v="9"/>
    </i>
    <i>
      <x v="14"/>
    </i>
    <i>
      <x v="21"/>
    </i>
    <i>
      <x v="35"/>
    </i>
    <i>
      <x v="8"/>
    </i>
    <i>
      <x v="41"/>
    </i>
    <i>
      <x v="1"/>
    </i>
    <i>
      <x v="11"/>
    </i>
    <i>
      <x v="12"/>
    </i>
    <i>
      <x v="26"/>
    </i>
    <i>
      <x v="36"/>
    </i>
    <i>
      <x/>
    </i>
    <i>
      <x v="7"/>
    </i>
    <i>
      <x v="33"/>
    </i>
    <i>
      <x v="32"/>
    </i>
    <i t="grand">
      <x/>
    </i>
  </rowItems>
  <colItems count="1">
    <i/>
  </colItems>
  <pageFields count="1">
    <pageField fld="45" hier="-1"/>
  </pageFields>
  <dataFields count="1">
    <dataField name="平均值 - 車位分配率" fld="45" subtotal="average" baseField="0" baseItem="0" numFmtId="17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36F8BC-6E9C-CD4C-8D5F-9F959847D2E8}" name="樞紐分析表9"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B9" firstHeaderRow="1" firstDataRow="1" firstDataCol="1"/>
  <pivotFields count="56">
    <pivotField showAll="0"/>
    <pivotField showAll="0"/>
    <pivotField dataField="1"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0"/>
  </rowFields>
  <rowItems count="6">
    <i>
      <x/>
    </i>
    <i>
      <x v="1"/>
    </i>
    <i>
      <x v="2"/>
    </i>
    <i>
      <x v="3"/>
    </i>
    <i>
      <x v="4"/>
    </i>
    <i t="grand">
      <x/>
    </i>
  </rowItems>
  <colItems count="1">
    <i/>
  </colItems>
  <dataFields count="1">
    <dataField name="計數 - 建案" fld="2" subtotal="count" baseField="0" baseItem="0"/>
  </dataFields>
  <chartFormats count="3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0" count="1" selected="0">
            <x v="0"/>
          </reference>
        </references>
      </pivotArea>
    </chartFormat>
    <chartFormat chart="0" format="2">
      <pivotArea type="data" outline="0" fieldPosition="0">
        <references count="2">
          <reference field="4294967294" count="1" selected="0">
            <x v="0"/>
          </reference>
          <reference field="50" count="1" selected="0">
            <x v="1"/>
          </reference>
        </references>
      </pivotArea>
    </chartFormat>
    <chartFormat chart="0" format="3">
      <pivotArea type="data" outline="0" fieldPosition="0">
        <references count="2">
          <reference field="4294967294" count="1" selected="0">
            <x v="0"/>
          </reference>
          <reference field="50" count="1" selected="0">
            <x v="2"/>
          </reference>
        </references>
      </pivotArea>
    </chartFormat>
    <chartFormat chart="0" format="4">
      <pivotArea type="data" outline="0" fieldPosition="0">
        <references count="2">
          <reference field="4294967294" count="1" selected="0">
            <x v="0"/>
          </reference>
          <reference field="50" count="1" selected="0">
            <x v="3"/>
          </reference>
        </references>
      </pivotArea>
    </chartFormat>
    <chartFormat chart="0" format="5">
      <pivotArea type="data" outline="0" fieldPosition="0">
        <references count="2">
          <reference field="4294967294" count="1" selected="0">
            <x v="0"/>
          </reference>
          <reference field="50" count="1" selected="0">
            <x v="4"/>
          </reference>
        </references>
      </pivotArea>
    </chartFormat>
    <chartFormat chart="1" format="6" series="1">
      <pivotArea type="data" outline="0" fieldPosition="0">
        <references count="1">
          <reference field="4294967294" count="1" selected="0">
            <x v="0"/>
          </reference>
        </references>
      </pivotArea>
    </chartFormat>
    <chartFormat chart="1" format="7">
      <pivotArea type="data" outline="0" fieldPosition="0">
        <references count="2">
          <reference field="4294967294" count="1" selected="0">
            <x v="0"/>
          </reference>
          <reference field="50" count="1" selected="0">
            <x v="0"/>
          </reference>
        </references>
      </pivotArea>
    </chartFormat>
    <chartFormat chart="1" format="8">
      <pivotArea type="data" outline="0" fieldPosition="0">
        <references count="2">
          <reference field="4294967294" count="1" selected="0">
            <x v="0"/>
          </reference>
          <reference field="50" count="1" selected="0">
            <x v="1"/>
          </reference>
        </references>
      </pivotArea>
    </chartFormat>
    <chartFormat chart="1" format="9">
      <pivotArea type="data" outline="0" fieldPosition="0">
        <references count="2">
          <reference field="4294967294" count="1" selected="0">
            <x v="0"/>
          </reference>
          <reference field="50" count="1" selected="0">
            <x v="2"/>
          </reference>
        </references>
      </pivotArea>
    </chartFormat>
    <chartFormat chart="1" format="10">
      <pivotArea type="data" outline="0" fieldPosition="0">
        <references count="2">
          <reference field="4294967294" count="1" selected="0">
            <x v="0"/>
          </reference>
          <reference field="50" count="1" selected="0">
            <x v="3"/>
          </reference>
        </references>
      </pivotArea>
    </chartFormat>
    <chartFormat chart="1" format="11">
      <pivotArea type="data" outline="0" fieldPosition="0">
        <references count="2">
          <reference field="4294967294" count="1" selected="0">
            <x v="0"/>
          </reference>
          <reference field="50" count="1" selected="0">
            <x v="4"/>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50" count="1" selected="0">
            <x v="0"/>
          </reference>
        </references>
      </pivotArea>
    </chartFormat>
    <chartFormat chart="2" format="14">
      <pivotArea type="data" outline="0" fieldPosition="0">
        <references count="2">
          <reference field="4294967294" count="1" selected="0">
            <x v="0"/>
          </reference>
          <reference field="50" count="1" selected="0">
            <x v="1"/>
          </reference>
        </references>
      </pivotArea>
    </chartFormat>
    <chartFormat chart="2" format="15">
      <pivotArea type="data" outline="0" fieldPosition="0">
        <references count="2">
          <reference field="4294967294" count="1" selected="0">
            <x v="0"/>
          </reference>
          <reference field="50" count="1" selected="0">
            <x v="2"/>
          </reference>
        </references>
      </pivotArea>
    </chartFormat>
    <chartFormat chart="2" format="16">
      <pivotArea type="data" outline="0" fieldPosition="0">
        <references count="2">
          <reference field="4294967294" count="1" selected="0">
            <x v="0"/>
          </reference>
          <reference field="50" count="1" selected="0">
            <x v="3"/>
          </reference>
        </references>
      </pivotArea>
    </chartFormat>
    <chartFormat chart="2" format="17">
      <pivotArea type="data" outline="0" fieldPosition="0">
        <references count="2">
          <reference field="4294967294" count="1" selected="0">
            <x v="0"/>
          </reference>
          <reference field="50" count="1" selected="0">
            <x v="4"/>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50" count="1" selected="0">
            <x v="0"/>
          </reference>
        </references>
      </pivotArea>
    </chartFormat>
    <chartFormat chart="3" format="8">
      <pivotArea type="data" outline="0" fieldPosition="0">
        <references count="2">
          <reference field="4294967294" count="1" selected="0">
            <x v="0"/>
          </reference>
          <reference field="50" count="1" selected="0">
            <x v="1"/>
          </reference>
        </references>
      </pivotArea>
    </chartFormat>
    <chartFormat chart="3" format="9">
      <pivotArea type="data" outline="0" fieldPosition="0">
        <references count="2">
          <reference field="4294967294" count="1" selected="0">
            <x v="0"/>
          </reference>
          <reference field="50" count="1" selected="0">
            <x v="2"/>
          </reference>
        </references>
      </pivotArea>
    </chartFormat>
    <chartFormat chart="3" format="10">
      <pivotArea type="data" outline="0" fieldPosition="0">
        <references count="2">
          <reference field="4294967294" count="1" selected="0">
            <x v="0"/>
          </reference>
          <reference field="50" count="1" selected="0">
            <x v="3"/>
          </reference>
        </references>
      </pivotArea>
    </chartFormat>
    <chartFormat chart="3" format="11">
      <pivotArea type="data" outline="0" fieldPosition="0">
        <references count="2">
          <reference field="4294967294" count="1" selected="0">
            <x v="0"/>
          </reference>
          <reference field="50" count="1" selected="0">
            <x v="4"/>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50" count="1" selected="0">
            <x v="0"/>
          </reference>
        </references>
      </pivotArea>
    </chartFormat>
    <chartFormat chart="4" format="14">
      <pivotArea type="data" outline="0" fieldPosition="0">
        <references count="2">
          <reference field="4294967294" count="1" selected="0">
            <x v="0"/>
          </reference>
          <reference field="50" count="1" selected="0">
            <x v="1"/>
          </reference>
        </references>
      </pivotArea>
    </chartFormat>
    <chartFormat chart="4" format="15">
      <pivotArea type="data" outline="0" fieldPosition="0">
        <references count="2">
          <reference field="4294967294" count="1" selected="0">
            <x v="0"/>
          </reference>
          <reference field="50" count="1" selected="0">
            <x v="2"/>
          </reference>
        </references>
      </pivotArea>
    </chartFormat>
    <chartFormat chart="4" format="16">
      <pivotArea type="data" outline="0" fieldPosition="0">
        <references count="2">
          <reference field="4294967294" count="1" selected="0">
            <x v="0"/>
          </reference>
          <reference field="50" count="1" selected="0">
            <x v="3"/>
          </reference>
        </references>
      </pivotArea>
    </chartFormat>
    <chartFormat chart="4" format="17">
      <pivotArea type="data" outline="0" fieldPosition="0">
        <references count="2">
          <reference field="4294967294" count="1" selected="0">
            <x v="0"/>
          </reference>
          <reference field="5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2A0184-F9FB-7249-BCA8-2F8B6C3580F3}" name="樞紐分析表1"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4">
  <location ref="A3:C9" firstHeaderRow="0" firstDataRow="1" firstDataCol="1"/>
  <pivotFields count="56">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Fields count="1">
    <field x="-2"/>
  </colFields>
  <colItems count="2">
    <i>
      <x/>
    </i>
    <i i="1">
      <x v="1"/>
    </i>
  </colItems>
  <dataFields count="2">
    <dataField name="加總 - 住家戶數" fld="36" baseField="0" baseItem="0" numFmtId="180"/>
    <dataField name="加總 - 商店戶數" fld="37" baseField="0" baseItem="0"/>
  </dataFields>
  <chartFormats count="43">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 chart="1" format="8">
      <pivotArea type="data" outline="0" fieldPosition="0">
        <references count="2">
          <reference field="4294967294" count="1" selected="0">
            <x v="0"/>
          </reference>
          <reference field="1" count="1" selected="0">
            <x v="0"/>
          </reference>
        </references>
      </pivotArea>
    </chartFormat>
    <chartFormat chart="1" format="9">
      <pivotArea type="data" outline="0" fieldPosition="0">
        <references count="2">
          <reference field="4294967294" count="1" selected="0">
            <x v="0"/>
          </reference>
          <reference field="1" count="1" selected="0">
            <x v="1"/>
          </reference>
        </references>
      </pivotArea>
    </chartFormat>
    <chartFormat chart="1" format="10">
      <pivotArea type="data" outline="0" fieldPosition="0">
        <references count="2">
          <reference field="4294967294" count="1" selected="0">
            <x v="0"/>
          </reference>
          <reference field="1" count="1" selected="0">
            <x v="2"/>
          </reference>
        </references>
      </pivotArea>
    </chartFormat>
    <chartFormat chart="1" format="11">
      <pivotArea type="data" outline="0" fieldPosition="0">
        <references count="2">
          <reference field="4294967294" count="1" selected="0">
            <x v="0"/>
          </reference>
          <reference field="1" count="1" selected="0">
            <x v="3"/>
          </reference>
        </references>
      </pivotArea>
    </chartFormat>
    <chartFormat chart="1" format="12">
      <pivotArea type="data" outline="0" fieldPosition="0">
        <references count="2">
          <reference field="4294967294" count="1" selected="0">
            <x v="0"/>
          </reference>
          <reference field="1" count="1" selected="0">
            <x v="4"/>
          </reference>
        </references>
      </pivotArea>
    </chartFormat>
    <chartFormat chart="1" format="13">
      <pivotArea type="data" outline="0" fieldPosition="0">
        <references count="2">
          <reference field="4294967294" count="1" selected="0">
            <x v="1"/>
          </reference>
          <reference field="1" count="1" selected="0">
            <x v="0"/>
          </reference>
        </references>
      </pivotArea>
    </chartFormat>
    <chartFormat chart="1" format="14">
      <pivotArea type="data" outline="0" fieldPosition="0">
        <references count="2">
          <reference field="4294967294" count="1" selected="0">
            <x v="1"/>
          </reference>
          <reference field="1" count="1" selected="0">
            <x v="1"/>
          </reference>
        </references>
      </pivotArea>
    </chartFormat>
    <chartFormat chart="1" format="15">
      <pivotArea type="data" outline="0" fieldPosition="0">
        <references count="2">
          <reference field="4294967294" count="1" selected="0">
            <x v="1"/>
          </reference>
          <reference field="1" count="1" selected="0">
            <x v="2"/>
          </reference>
        </references>
      </pivotArea>
    </chartFormat>
    <chartFormat chart="1" format="16">
      <pivotArea type="data" outline="0" fieldPosition="0">
        <references count="2">
          <reference field="4294967294" count="1" selected="0">
            <x v="1"/>
          </reference>
          <reference field="1" count="1" selected="0">
            <x v="3"/>
          </reference>
        </references>
      </pivotArea>
    </chartFormat>
    <chartFormat chart="1" format="17">
      <pivotArea type="data" outline="0" fieldPosition="0">
        <references count="2">
          <reference field="4294967294" count="1" selected="0">
            <x v="1"/>
          </reference>
          <reference field="1" count="1" selected="0">
            <x v="4"/>
          </reference>
        </references>
      </pivotArea>
    </chartFormat>
    <chartFormat chart="0" format="3">
      <pivotArea type="data" outline="0" fieldPosition="0">
        <references count="2">
          <reference field="4294967294" count="1" selected="0">
            <x v="1"/>
          </reference>
          <reference field="1" count="1" selected="0">
            <x v="0"/>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1"/>
          </reference>
          <reference field="1" count="1" selected="0">
            <x v="2"/>
          </reference>
        </references>
      </pivotArea>
    </chartFormat>
    <chartFormat chart="0" format="6">
      <pivotArea type="data" outline="0" fieldPosition="0">
        <references count="2">
          <reference field="4294967294" count="1" selected="0">
            <x v="1"/>
          </reference>
          <reference field="1" count="1" selected="0">
            <x v="3"/>
          </reference>
        </references>
      </pivotArea>
    </chartFormat>
    <chartFormat chart="0" format="7">
      <pivotArea type="data" outline="0" fieldPosition="0">
        <references count="2">
          <reference field="4294967294" count="1" selected="0">
            <x v="1"/>
          </reference>
          <reference field="1" count="1" selected="0">
            <x v="4"/>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1" count="1" selected="0">
            <x v="0"/>
          </reference>
        </references>
      </pivotArea>
    </chartFormat>
    <chartFormat chart="2" format="20">
      <pivotArea type="data" outline="0" fieldPosition="0">
        <references count="2">
          <reference field="4294967294" count="1" selected="0">
            <x v="0"/>
          </reference>
          <reference field="1" count="1" selected="0">
            <x v="1"/>
          </reference>
        </references>
      </pivotArea>
    </chartFormat>
    <chartFormat chart="2" format="21">
      <pivotArea type="data" outline="0" fieldPosition="0">
        <references count="2">
          <reference field="4294967294" count="1" selected="0">
            <x v="0"/>
          </reference>
          <reference field="1" count="1" selected="0">
            <x v="2"/>
          </reference>
        </references>
      </pivotArea>
    </chartFormat>
    <chartFormat chart="2" format="22">
      <pivotArea type="data" outline="0" fieldPosition="0">
        <references count="2">
          <reference field="4294967294" count="1" selected="0">
            <x v="0"/>
          </reference>
          <reference field="1" count="1" selected="0">
            <x v="3"/>
          </reference>
        </references>
      </pivotArea>
    </chartFormat>
    <chartFormat chart="2" format="23">
      <pivotArea type="data" outline="0" fieldPosition="0">
        <references count="2">
          <reference field="4294967294" count="1" selected="0">
            <x v="0"/>
          </reference>
          <reference field="1" count="1" selected="0">
            <x v="4"/>
          </reference>
        </references>
      </pivotArea>
    </chartFormat>
    <chartFormat chart="2" format="24" series="1">
      <pivotArea type="data" outline="0" fieldPosition="0">
        <references count="1">
          <reference field="4294967294" count="1" selected="0">
            <x v="1"/>
          </reference>
        </references>
      </pivotArea>
    </chartFormat>
    <chartFormat chart="2" format="25">
      <pivotArea type="data" outline="0" fieldPosition="0">
        <references count="2">
          <reference field="4294967294" count="1" selected="0">
            <x v="1"/>
          </reference>
          <reference field="1" count="1" selected="0">
            <x v="0"/>
          </reference>
        </references>
      </pivotArea>
    </chartFormat>
    <chartFormat chart="2" format="26">
      <pivotArea type="data" outline="0" fieldPosition="0">
        <references count="2">
          <reference field="4294967294" count="1" selected="0">
            <x v="1"/>
          </reference>
          <reference field="1" count="1" selected="0">
            <x v="1"/>
          </reference>
        </references>
      </pivotArea>
    </chartFormat>
    <chartFormat chart="2" format="27">
      <pivotArea type="data" outline="0" fieldPosition="0">
        <references count="2">
          <reference field="4294967294" count="1" selected="0">
            <x v="1"/>
          </reference>
          <reference field="1" count="1" selected="0">
            <x v="2"/>
          </reference>
        </references>
      </pivotArea>
    </chartFormat>
    <chartFormat chart="2" format="28">
      <pivotArea type="data" outline="0" fieldPosition="0">
        <references count="2">
          <reference field="4294967294" count="1" selected="0">
            <x v="1"/>
          </reference>
          <reference field="1" count="1" selected="0">
            <x v="3"/>
          </reference>
        </references>
      </pivotArea>
    </chartFormat>
    <chartFormat chart="2" format="29">
      <pivotArea type="data" outline="0" fieldPosition="0">
        <references count="2">
          <reference field="4294967294" count="1" selected="0">
            <x v="1"/>
          </reference>
          <reference field="1" count="1" selected="0">
            <x v="4"/>
          </reference>
        </references>
      </pivotArea>
    </chartFormat>
    <chartFormat chart="3" format="30" series="1">
      <pivotArea type="data" outline="0" fieldPosition="0">
        <references count="1">
          <reference field="4294967294" count="1" selected="0">
            <x v="0"/>
          </reference>
        </references>
      </pivotArea>
    </chartFormat>
    <chartFormat chart="3" format="31">
      <pivotArea type="data" outline="0" fieldPosition="0">
        <references count="2">
          <reference field="4294967294" count="1" selected="0">
            <x v="0"/>
          </reference>
          <reference field="1" count="1" selected="0">
            <x v="0"/>
          </reference>
        </references>
      </pivotArea>
    </chartFormat>
    <chartFormat chart="3" format="32">
      <pivotArea type="data" outline="0" fieldPosition="0">
        <references count="2">
          <reference field="4294967294" count="1" selected="0">
            <x v="0"/>
          </reference>
          <reference field="1" count="1" selected="0">
            <x v="1"/>
          </reference>
        </references>
      </pivotArea>
    </chartFormat>
    <chartFormat chart="3" format="33">
      <pivotArea type="data" outline="0" fieldPosition="0">
        <references count="2">
          <reference field="4294967294" count="1" selected="0">
            <x v="0"/>
          </reference>
          <reference field="1" count="1" selected="0">
            <x v="2"/>
          </reference>
        </references>
      </pivotArea>
    </chartFormat>
    <chartFormat chart="3" format="34">
      <pivotArea type="data" outline="0" fieldPosition="0">
        <references count="2">
          <reference field="4294967294" count="1" selected="0">
            <x v="0"/>
          </reference>
          <reference field="1" count="1" selected="0">
            <x v="3"/>
          </reference>
        </references>
      </pivotArea>
    </chartFormat>
    <chartFormat chart="3" format="35">
      <pivotArea type="data" outline="0" fieldPosition="0">
        <references count="2">
          <reference field="4294967294" count="1" selected="0">
            <x v="0"/>
          </reference>
          <reference field="1" count="1" selected="0">
            <x v="4"/>
          </reference>
        </references>
      </pivotArea>
    </chartFormat>
    <chartFormat chart="3" format="36" series="1">
      <pivotArea type="data" outline="0" fieldPosition="0">
        <references count="1">
          <reference field="4294967294" count="1" selected="0">
            <x v="1"/>
          </reference>
        </references>
      </pivotArea>
    </chartFormat>
    <chartFormat chart="3" format="37">
      <pivotArea type="data" outline="0" fieldPosition="0">
        <references count="2">
          <reference field="4294967294" count="1" selected="0">
            <x v="1"/>
          </reference>
          <reference field="1" count="1" selected="0">
            <x v="0"/>
          </reference>
        </references>
      </pivotArea>
    </chartFormat>
    <chartFormat chart="3" format="38">
      <pivotArea type="data" outline="0" fieldPosition="0">
        <references count="2">
          <reference field="4294967294" count="1" selected="0">
            <x v="1"/>
          </reference>
          <reference field="1" count="1" selected="0">
            <x v="1"/>
          </reference>
        </references>
      </pivotArea>
    </chartFormat>
    <chartFormat chart="3" format="39">
      <pivotArea type="data" outline="0" fieldPosition="0">
        <references count="2">
          <reference field="4294967294" count="1" selected="0">
            <x v="1"/>
          </reference>
          <reference field="1" count="1" selected="0">
            <x v="2"/>
          </reference>
        </references>
      </pivotArea>
    </chartFormat>
    <chartFormat chart="3" format="40">
      <pivotArea type="data" outline="0" fieldPosition="0">
        <references count="2">
          <reference field="4294967294" count="1" selected="0">
            <x v="1"/>
          </reference>
          <reference field="1" count="1" selected="0">
            <x v="3"/>
          </reference>
        </references>
      </pivotArea>
    </chartFormat>
    <chartFormat chart="3" format="41">
      <pivotArea type="data" outline="0" fieldPosition="0">
        <references count="2">
          <reference field="4294967294" count="1" selected="0">
            <x v="1"/>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A05ECE1-698D-3F42-A1F5-015F41A70879}" name="樞紐分析表2"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5">
  <location ref="A37:B43" firstHeaderRow="1" firstDataRow="1" firstDataCol="1" rowPageCount="1" colPageCount="1"/>
  <pivotFields count="56">
    <pivotField showAll="0"/>
    <pivotField axis="axisRow" showAll="0">
      <items count="6">
        <item x="0"/>
        <item x="1"/>
        <item x="2"/>
        <item x="3"/>
        <item x="4"/>
        <item t="default"/>
      </items>
    </pivotField>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5">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19A1B8-C948-9248-8ABA-BFD05B6AA01A}" name="樞紐分析表1" cacheId="20"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56">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s>
  <rowFields count="1">
    <field x="50"/>
  </rowFields>
  <rowItems count="6">
    <i>
      <x/>
    </i>
    <i>
      <x v="1"/>
    </i>
    <i>
      <x v="2"/>
    </i>
    <i>
      <x v="3"/>
    </i>
    <i>
      <x v="4"/>
    </i>
    <i t="grand">
      <x/>
    </i>
  </rowItems>
  <colItems count="1">
    <i/>
  </colItems>
  <pageFields count="1">
    <pageField fld="9" hier="-1"/>
  </pageFields>
  <dataFields count="1">
    <dataField name="平均值 - 每坪價-平均" fld="9" subtotal="average" baseField="0" baseItem="0" numFmtId="18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58FE396-6E8A-064D-96E2-0847BBE52133}" name="樞紐分析表7" cacheId="23"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rowHeaderCaption="3ㄒㄧ1">
  <location ref="A3:D8" firstHeaderRow="0" firstDataRow="1" firstDataCol="1"/>
  <pivotFields count="57">
    <pivotField dataField="1" showAll="0"/>
    <pivotField showAll="0"/>
    <pivotField showAll="0"/>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s>
  <rowFields count="1">
    <field x="56"/>
  </rowFields>
  <rowItems count="5">
    <i>
      <x/>
    </i>
    <i>
      <x v="1"/>
    </i>
    <i>
      <x v="2"/>
    </i>
    <i>
      <x v="3"/>
    </i>
    <i t="grand">
      <x/>
    </i>
  </rowItems>
  <colFields count="1">
    <field x="-2"/>
  </colFields>
  <colItems count="3">
    <i>
      <x/>
    </i>
    <i i="1">
      <x v="1"/>
    </i>
    <i i="2">
      <x v="2"/>
    </i>
  </colItems>
  <dataFields count="3">
    <dataField name="加總 - 住家戶數" fld="36" baseField="0" baseItem="0" numFmtId="180"/>
    <dataField name="加總 - 商店戶數" fld="37" baseField="0" baseItem="0" numFmtId="180"/>
    <dataField name="計數 - n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833B209-0CFF-0548-B5A9-F2903FE4CB01}" name="樞紐分析表1" cacheId="23"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1">
  <location ref="A3:B9" firstHeaderRow="1" firstDataRow="1" firstDataCol="1" rowPageCount="1" colPageCount="1"/>
  <pivotFields count="57">
    <pivotField showAll="0"/>
    <pivotField showAll="0"/>
    <pivotField axis="axisPage" multipleItemSelectionAllowed="1" showAll="0">
      <items count="50">
        <item h="1" x="39"/>
        <item x="14"/>
        <item x="22"/>
        <item x="24"/>
        <item x="23"/>
        <item x="6"/>
        <item x="12"/>
        <item x="5"/>
        <item x="8"/>
        <item x="21"/>
        <item x="38"/>
        <item x="47"/>
        <item x="25"/>
        <item x="43"/>
        <item x="42"/>
        <item x="36"/>
        <item x="35"/>
        <item x="0"/>
        <item x="13"/>
        <item x="3"/>
        <item x="15"/>
        <item x="26"/>
        <item x="10"/>
        <item x="46"/>
        <item x="18"/>
        <item x="7"/>
        <item x="41"/>
        <item x="31"/>
        <item x="20"/>
        <item x="11"/>
        <item x="30"/>
        <item x="19"/>
        <item x="28"/>
        <item x="29"/>
        <item x="40"/>
        <item x="33"/>
        <item x="34"/>
        <item x="17"/>
        <item x="16"/>
        <item x="45"/>
        <item x="4"/>
        <item x="2"/>
        <item x="37"/>
        <item x="32"/>
        <item x="1"/>
        <item x="27"/>
        <item x="48"/>
        <item x="9"/>
        <item x="44"/>
        <item t="default"/>
      </items>
    </pivotField>
    <pivotField showAll="0"/>
    <pivotField showAll="0"/>
    <pivotField showAll="0"/>
    <pivotField showAll="0"/>
    <pivotField numFmtId="177" showAll="0"/>
    <pivotField numFmtId="177" showAll="0"/>
    <pivotField numFmtId="177"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3"/>
        <item x="1"/>
        <item x="4"/>
        <item x="2"/>
        <item x="0"/>
        <item t="default"/>
      </items>
    </pivotField>
    <pivotField showAll="0"/>
    <pivotField showAll="0"/>
    <pivotField showAll="0"/>
    <pivotField showAll="0"/>
    <pivotField showAll="0"/>
    <pivotField showAll="0"/>
  </pivotFields>
  <rowFields count="1">
    <field x="50"/>
  </rowFields>
  <rowItems count="6">
    <i>
      <x/>
    </i>
    <i>
      <x v="1"/>
    </i>
    <i>
      <x v="2"/>
    </i>
    <i>
      <x v="3"/>
    </i>
    <i>
      <x v="4"/>
    </i>
    <i t="grand">
      <x/>
    </i>
  </rowItems>
  <colItems count="1">
    <i/>
  </colItems>
  <pageFields count="1">
    <pageField fld="2" hier="-1"/>
  </pageFields>
  <dataFields count="1">
    <dataField name="平均值 - 車位分配率" fld="45" subtotal="average" baseField="0" baseItem="0" numFmtId="17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4FE811F-B077-FD42-9008-279DB01289D2}" name="樞紐分析表1" cacheId="23" applyNumberFormats="0" applyBorderFormats="0" applyFontFormats="0" applyPatternFormats="0" applyAlignmentFormats="0" applyWidthHeightFormats="1" dataCaption="值" updatedVersion="7" minRefreshableVersion="3" useAutoFormatting="1" itemPrintTitles="1" createdVersion="7" indent="0" outline="1" outlineData="1" multipleFieldFilters="0" chartFormat="2">
  <location ref="A3:B19" firstHeaderRow="1" firstDataRow="1" firstDataCol="1" rowPageCount="1" colPageCount="1"/>
  <pivotFields count="57">
    <pivotField showAll="0"/>
    <pivotField showAll="0"/>
    <pivotField showAll="0"/>
    <pivotField showAll="0"/>
    <pivotField showAll="0"/>
    <pivotField showAll="0"/>
    <pivotField showAll="0"/>
    <pivotField numFmtId="177" showAll="0"/>
    <pivotField numFmtId="177" showAll="0"/>
    <pivotField axis="axisPage" dataField="1" numFmtId="177" multipleItemSelectionAllowed="1" showAll="0">
      <items count="20">
        <item h="1" x="18"/>
        <item x="2"/>
        <item x="3"/>
        <item x="1"/>
        <item x="4"/>
        <item x="7"/>
        <item x="0"/>
        <item x="17"/>
        <item x="11"/>
        <item x="14"/>
        <item x="10"/>
        <item x="8"/>
        <item x="6"/>
        <item x="12"/>
        <item x="5"/>
        <item x="15"/>
        <item x="13"/>
        <item x="9"/>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1">
        <item x="25"/>
        <item x="8"/>
        <item x="9"/>
        <item x="5"/>
        <item x="15"/>
        <item x="24"/>
        <item x="28"/>
        <item x="16"/>
        <item x="23"/>
        <item x="2"/>
        <item x="3"/>
        <item x="22"/>
        <item x="19"/>
        <item x="0"/>
        <item x="6"/>
        <item x="10"/>
        <item x="7"/>
        <item x="27"/>
        <item x="4"/>
        <item x="17"/>
        <item x="11"/>
        <item x="12"/>
        <item x="21"/>
        <item x="14"/>
        <item x="20"/>
        <item x="13"/>
        <item x="18"/>
        <item x="1"/>
        <item x="29"/>
        <item x="26"/>
        <item t="default"/>
      </items>
    </pivotField>
    <pivotField axis="axisRow" showAll="0" sortType="descending">
      <items count="20">
        <item x="14"/>
        <item x="4"/>
        <item x="3"/>
        <item x="2"/>
        <item x="13"/>
        <item h="1" x="17"/>
        <item x="8"/>
        <item x="12"/>
        <item h="1" x="5"/>
        <item h="1" x="16"/>
        <item x="1"/>
        <item x="9"/>
        <item x="6"/>
        <item x="11"/>
        <item x="7"/>
        <item x="10"/>
        <item x="18"/>
        <item x="0"/>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9"/>
  </rowFields>
  <rowItems count="16">
    <i>
      <x v="1"/>
    </i>
    <i>
      <x/>
    </i>
    <i>
      <x v="13"/>
    </i>
    <i>
      <x v="10"/>
    </i>
    <i>
      <x v="4"/>
    </i>
    <i>
      <x v="15"/>
    </i>
    <i>
      <x v="18"/>
    </i>
    <i>
      <x v="7"/>
    </i>
    <i>
      <x v="11"/>
    </i>
    <i>
      <x v="6"/>
    </i>
    <i>
      <x v="3"/>
    </i>
    <i>
      <x v="2"/>
    </i>
    <i>
      <x v="14"/>
    </i>
    <i>
      <x v="17"/>
    </i>
    <i>
      <x v="12"/>
    </i>
    <i t="grand">
      <x/>
    </i>
  </rowItems>
  <colItems count="1">
    <i/>
  </colItems>
  <pageFields count="1">
    <pageField fld="9" hier="-1"/>
  </pageFields>
  <dataFields count="1">
    <dataField name="平均值 - 每坪價-平均" fld="9" subtotal="average" baseField="0" baseItem="0" numFmtId="179"/>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4.xml"/></Relationships>
</file>

<file path=xl/worksheets/_rels/sheet14.xml.rels><?xml version="1.0" encoding="UTF-8" standalone="yes"?>
<Relationships xmlns="http://schemas.openxmlformats.org/package/2006/relationships"><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26" Type="http://schemas.openxmlformats.org/officeDocument/2006/relationships/hyperlink" Target="https://newhouse.591.com.tw/home/housing/detail?hid=124450" TargetMode="External"/><Relationship Id="rId39" Type="http://schemas.openxmlformats.org/officeDocument/2006/relationships/hyperlink" Target="https://newhouse.591.com.tw/home/housing/detail?hid=124978" TargetMode="External"/><Relationship Id="rId21" Type="http://schemas.openxmlformats.org/officeDocument/2006/relationships/hyperlink" Target="https://newhouse.591.com.tw/home/housing/detail?hid=118905" TargetMode="External"/><Relationship Id="rId34" Type="http://schemas.openxmlformats.org/officeDocument/2006/relationships/hyperlink" Target="https://newhouse.591.com.tw/home/housing/detail?hid=120741"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 Id="rId63" Type="http://schemas.openxmlformats.org/officeDocument/2006/relationships/hyperlink" Target="https://newhouse.591.com.tw/home/housing/detail?hid=125949"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C107-0DDB-D048-8ED1-B9777A591341}">
  <dimension ref="A1:C53"/>
  <sheetViews>
    <sheetView workbookViewId="0">
      <selection activeCell="AJ27" sqref="AJ27"/>
    </sheetView>
  </sheetViews>
  <sheetFormatPr baseColWidth="10" defaultRowHeight="15"/>
  <cols>
    <col min="1" max="3" width="16" bestFit="1" customWidth="1"/>
    <col min="4" max="40" width="5" bestFit="1" customWidth="1"/>
    <col min="41" max="42" width="6" bestFit="1" customWidth="1"/>
    <col min="43" max="43" width="7.33203125" bestFit="1" customWidth="1"/>
    <col min="44" max="44" width="6" bestFit="1" customWidth="1"/>
  </cols>
  <sheetData>
    <row r="1" spans="1:3">
      <c r="A1" s="16" t="s">
        <v>1034</v>
      </c>
      <c r="B1" t="s">
        <v>1158</v>
      </c>
    </row>
    <row r="3" spans="1:3">
      <c r="A3" s="16" t="s">
        <v>1024</v>
      </c>
      <c r="B3" t="s">
        <v>1041</v>
      </c>
      <c r="C3" t="s">
        <v>1042</v>
      </c>
    </row>
    <row r="4" spans="1:3">
      <c r="A4" s="17" t="s">
        <v>1065</v>
      </c>
      <c r="B4" s="18">
        <v>280</v>
      </c>
      <c r="C4" s="18">
        <v>12</v>
      </c>
    </row>
    <row r="5" spans="1:3">
      <c r="A5" s="17" t="s">
        <v>1090</v>
      </c>
      <c r="B5" s="18">
        <v>196</v>
      </c>
      <c r="C5" s="18">
        <v>11</v>
      </c>
    </row>
    <row r="6" spans="1:3">
      <c r="A6" s="17" t="s">
        <v>1087</v>
      </c>
      <c r="B6" s="18">
        <v>326</v>
      </c>
      <c r="C6" s="18">
        <v>20</v>
      </c>
    </row>
    <row r="7" spans="1:3">
      <c r="A7" s="17" t="s">
        <v>1067</v>
      </c>
      <c r="B7" s="18">
        <v>173</v>
      </c>
      <c r="C7" s="18">
        <v>11</v>
      </c>
    </row>
    <row r="8" spans="1:3">
      <c r="A8" s="17" t="s">
        <v>1086</v>
      </c>
      <c r="B8" s="18">
        <v>187</v>
      </c>
      <c r="C8" s="18">
        <v>12</v>
      </c>
    </row>
    <row r="9" spans="1:3">
      <c r="A9" s="17" t="s">
        <v>1056</v>
      </c>
      <c r="B9" s="18">
        <v>186</v>
      </c>
      <c r="C9" s="18">
        <v>7</v>
      </c>
    </row>
    <row r="10" spans="1:3">
      <c r="A10" s="17" t="s">
        <v>1054</v>
      </c>
      <c r="B10" s="18">
        <v>198</v>
      </c>
      <c r="C10" s="18">
        <v>8</v>
      </c>
    </row>
    <row r="11" spans="1:3">
      <c r="A11" s="17" t="s">
        <v>1072</v>
      </c>
      <c r="B11" s="18">
        <v>832</v>
      </c>
      <c r="C11" s="18">
        <v>0</v>
      </c>
    </row>
    <row r="12" spans="1:3">
      <c r="A12" s="17" t="s">
        <v>1057</v>
      </c>
      <c r="B12" s="18">
        <v>1044</v>
      </c>
      <c r="C12" s="18">
        <v>0</v>
      </c>
    </row>
    <row r="13" spans="1:3">
      <c r="A13" s="17" t="s">
        <v>1092</v>
      </c>
      <c r="B13" s="18">
        <v>199</v>
      </c>
      <c r="C13" s="18">
        <v>2</v>
      </c>
    </row>
    <row r="14" spans="1:3">
      <c r="A14" s="17" t="s">
        <v>1070</v>
      </c>
      <c r="B14" s="18">
        <v>308</v>
      </c>
      <c r="C14" s="18">
        <v>13</v>
      </c>
    </row>
    <row r="15" spans="1:3">
      <c r="A15" s="17" t="s">
        <v>1076</v>
      </c>
      <c r="B15" s="18">
        <v>441</v>
      </c>
      <c r="C15" s="18">
        <v>7</v>
      </c>
    </row>
    <row r="16" spans="1:3">
      <c r="A16" s="17" t="s">
        <v>1055</v>
      </c>
      <c r="B16" s="18">
        <v>138</v>
      </c>
      <c r="C16" s="18">
        <v>8</v>
      </c>
    </row>
    <row r="17" spans="1:3">
      <c r="A17" s="17" t="s">
        <v>1066</v>
      </c>
      <c r="B17" s="18">
        <v>280</v>
      </c>
      <c r="C17" s="18">
        <v>11</v>
      </c>
    </row>
    <row r="18" spans="1:3">
      <c r="A18" s="17" t="s">
        <v>1050</v>
      </c>
      <c r="B18" s="18">
        <v>530</v>
      </c>
      <c r="C18" s="18">
        <v>5</v>
      </c>
    </row>
    <row r="19" spans="1:3">
      <c r="A19" s="17" t="s">
        <v>1068</v>
      </c>
      <c r="B19" s="18">
        <v>235</v>
      </c>
      <c r="C19" s="18">
        <v>4</v>
      </c>
    </row>
    <row r="20" spans="1:3">
      <c r="A20" s="17" t="s">
        <v>1085</v>
      </c>
      <c r="B20" s="18">
        <v>420</v>
      </c>
      <c r="C20" s="18">
        <v>20</v>
      </c>
    </row>
    <row r="21" spans="1:3">
      <c r="A21" s="17" t="s">
        <v>1084</v>
      </c>
      <c r="B21" s="18">
        <v>266</v>
      </c>
      <c r="C21" s="18">
        <v>13</v>
      </c>
    </row>
    <row r="22" spans="1:3">
      <c r="A22" s="17" t="s">
        <v>1071</v>
      </c>
      <c r="B22" s="18">
        <v>225</v>
      </c>
      <c r="C22" s="18">
        <v>3</v>
      </c>
    </row>
    <row r="23" spans="1:3">
      <c r="A23" s="17" t="s">
        <v>1078</v>
      </c>
      <c r="B23" s="18">
        <v>776</v>
      </c>
      <c r="C23" s="18">
        <v>8</v>
      </c>
    </row>
    <row r="24" spans="1:3">
      <c r="A24" s="17" t="s">
        <v>1075</v>
      </c>
      <c r="B24" s="18">
        <v>264</v>
      </c>
      <c r="C24" s="18">
        <v>0</v>
      </c>
    </row>
    <row r="25" spans="1:3">
      <c r="A25" s="17" t="s">
        <v>1058</v>
      </c>
      <c r="B25" s="18">
        <v>112</v>
      </c>
      <c r="C25" s="18">
        <v>4</v>
      </c>
    </row>
    <row r="26" spans="1:3">
      <c r="A26" s="17" t="s">
        <v>1051</v>
      </c>
      <c r="B26" s="18">
        <v>305</v>
      </c>
      <c r="C26" s="18">
        <v>0</v>
      </c>
    </row>
    <row r="27" spans="1:3">
      <c r="A27" s="17" t="s">
        <v>1053</v>
      </c>
      <c r="B27" s="18">
        <v>204</v>
      </c>
      <c r="C27" s="18">
        <v>7</v>
      </c>
    </row>
    <row r="28" spans="1:3">
      <c r="A28" s="17" t="s">
        <v>1052</v>
      </c>
      <c r="B28" s="18">
        <v>478</v>
      </c>
      <c r="C28" s="18">
        <v>8</v>
      </c>
    </row>
    <row r="29" spans="1:3">
      <c r="A29" s="17" t="s">
        <v>1060</v>
      </c>
      <c r="B29" s="18">
        <v>1144</v>
      </c>
      <c r="C29" s="18">
        <v>30</v>
      </c>
    </row>
    <row r="30" spans="1:3">
      <c r="A30" s="17" t="s">
        <v>1069</v>
      </c>
      <c r="B30" s="18">
        <v>754</v>
      </c>
      <c r="C30" s="18">
        <v>23</v>
      </c>
    </row>
    <row r="31" spans="1:3">
      <c r="A31" s="17" t="s">
        <v>1091</v>
      </c>
      <c r="B31" s="18">
        <v>771</v>
      </c>
      <c r="C31" s="18">
        <v>31</v>
      </c>
    </row>
    <row r="32" spans="1:3">
      <c r="A32" s="17" t="s">
        <v>1079</v>
      </c>
      <c r="B32" s="18">
        <v>257</v>
      </c>
      <c r="C32" s="18">
        <v>7</v>
      </c>
    </row>
    <row r="33" spans="1:3">
      <c r="A33" s="17" t="s">
        <v>1080</v>
      </c>
      <c r="B33" s="18">
        <v>371</v>
      </c>
      <c r="C33" s="18">
        <v>3</v>
      </c>
    </row>
    <row r="34" spans="1:3">
      <c r="A34" s="17" t="s">
        <v>1077</v>
      </c>
      <c r="B34" s="18">
        <v>337</v>
      </c>
      <c r="C34" s="18">
        <v>2</v>
      </c>
    </row>
    <row r="35" spans="1:3">
      <c r="A35" s="17" t="s">
        <v>1074</v>
      </c>
      <c r="B35" s="18">
        <v>483</v>
      </c>
      <c r="C35" s="18">
        <v>8</v>
      </c>
    </row>
    <row r="36" spans="1:3">
      <c r="A36" s="17" t="s">
        <v>1089</v>
      </c>
      <c r="B36" s="18">
        <v>154</v>
      </c>
      <c r="C36" s="18">
        <v>9</v>
      </c>
    </row>
    <row r="37" spans="1:3">
      <c r="A37" s="17" t="s">
        <v>1082</v>
      </c>
      <c r="B37" s="18">
        <v>376</v>
      </c>
      <c r="C37" s="18">
        <v>9</v>
      </c>
    </row>
    <row r="38" spans="1:3">
      <c r="A38" s="17" t="s">
        <v>1083</v>
      </c>
      <c r="B38" s="18">
        <v>582</v>
      </c>
      <c r="C38" s="18">
        <v>16</v>
      </c>
    </row>
    <row r="39" spans="1:3">
      <c r="A39" s="17" t="s">
        <v>1064</v>
      </c>
      <c r="B39" s="18">
        <v>210</v>
      </c>
      <c r="C39" s="18">
        <v>11</v>
      </c>
    </row>
    <row r="40" spans="1:3">
      <c r="A40" s="17" t="s">
        <v>1063</v>
      </c>
      <c r="B40" s="18">
        <v>173</v>
      </c>
      <c r="C40" s="18">
        <v>5</v>
      </c>
    </row>
    <row r="41" spans="1:3">
      <c r="A41" s="17" t="s">
        <v>1088</v>
      </c>
      <c r="B41" s="18">
        <v>124</v>
      </c>
      <c r="C41" s="18">
        <v>11</v>
      </c>
    </row>
    <row r="42" spans="1:3">
      <c r="A42" s="17" t="s">
        <v>1059</v>
      </c>
      <c r="B42" s="18">
        <v>106</v>
      </c>
      <c r="C42" s="18">
        <v>0</v>
      </c>
    </row>
    <row r="43" spans="1:3">
      <c r="A43" s="17" t="s">
        <v>1049</v>
      </c>
      <c r="B43" s="18">
        <v>87</v>
      </c>
      <c r="C43" s="18">
        <v>3</v>
      </c>
    </row>
    <row r="44" spans="1:3">
      <c r="A44" s="17" t="s">
        <v>1081</v>
      </c>
      <c r="B44" s="18">
        <v>807</v>
      </c>
      <c r="C44" s="18">
        <v>14</v>
      </c>
    </row>
    <row r="45" spans="1:3">
      <c r="A45" s="17" t="s">
        <v>1073</v>
      </c>
      <c r="B45" s="18">
        <v>266</v>
      </c>
      <c r="C45" s="18">
        <v>4</v>
      </c>
    </row>
    <row r="46" spans="1:3">
      <c r="A46" s="17" t="s">
        <v>1062</v>
      </c>
      <c r="B46" s="18">
        <v>168</v>
      </c>
      <c r="C46" s="18">
        <v>5</v>
      </c>
    </row>
    <row r="47" spans="1:3">
      <c r="A47" s="17" t="s">
        <v>1061</v>
      </c>
      <c r="B47" s="18">
        <v>103</v>
      </c>
      <c r="C47" s="18">
        <v>6</v>
      </c>
    </row>
    <row r="48" spans="1:3">
      <c r="A48" s="17" t="s">
        <v>1093</v>
      </c>
      <c r="B48" s="18">
        <v>106</v>
      </c>
      <c r="C48" s="18">
        <v>2</v>
      </c>
    </row>
    <row r="49" spans="1:3">
      <c r="A49" s="17" t="s">
        <v>1094</v>
      </c>
      <c r="B49" s="18">
        <v>1272</v>
      </c>
      <c r="C49" s="18"/>
    </row>
    <row r="50" spans="1:3">
      <c r="A50" s="17" t="s">
        <v>1095</v>
      </c>
      <c r="B50" s="18">
        <v>1780</v>
      </c>
      <c r="C50" s="18"/>
    </row>
    <row r="51" spans="1:3">
      <c r="A51" s="17" t="s">
        <v>1096</v>
      </c>
      <c r="B51" s="18">
        <v>514</v>
      </c>
      <c r="C51" s="18"/>
    </row>
    <row r="52" spans="1:3">
      <c r="A52" s="17" t="s">
        <v>1097</v>
      </c>
      <c r="B52" s="18">
        <v>897</v>
      </c>
      <c r="C52" s="18"/>
    </row>
    <row r="53" spans="1:3">
      <c r="A53" s="17" t="s">
        <v>1025</v>
      </c>
      <c r="B53" s="18">
        <v>20445</v>
      </c>
      <c r="C53" s="18">
        <v>393</v>
      </c>
    </row>
  </sheetData>
  <phoneticPr fontId="2" type="noConversion"/>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2BEDE-E3E0-4D4D-82ED-03C3E1715326}">
  <dimension ref="A1:C49"/>
  <sheetViews>
    <sheetView workbookViewId="0">
      <selection activeCell="B49" sqref="B49"/>
    </sheetView>
  </sheetViews>
  <sheetFormatPr baseColWidth="10" defaultRowHeight="15"/>
  <cols>
    <col min="1" max="1" width="16" bestFit="1" customWidth="1"/>
    <col min="2" max="3" width="21.1640625" bestFit="1" customWidth="1"/>
  </cols>
  <sheetData>
    <row r="1" spans="1:3">
      <c r="A1" s="16" t="s">
        <v>1027</v>
      </c>
      <c r="B1" t="s">
        <v>1026</v>
      </c>
    </row>
    <row r="3" spans="1:3">
      <c r="A3" s="16" t="s">
        <v>1024</v>
      </c>
      <c r="B3" t="s">
        <v>1043</v>
      </c>
      <c r="C3" t="s">
        <v>1044</v>
      </c>
    </row>
    <row r="4" spans="1:3">
      <c r="A4" s="17" t="s">
        <v>1065</v>
      </c>
      <c r="B4" s="19">
        <v>28</v>
      </c>
      <c r="C4" s="19">
        <v>29</v>
      </c>
    </row>
    <row r="5" spans="1:3">
      <c r="A5" s="17" t="s">
        <v>1090</v>
      </c>
      <c r="B5" s="19">
        <v>26</v>
      </c>
      <c r="C5" s="19">
        <v>26</v>
      </c>
    </row>
    <row r="6" spans="1:3">
      <c r="A6" s="17" t="s">
        <v>1087</v>
      </c>
      <c r="B6" s="19">
        <v>26</v>
      </c>
      <c r="C6" s="19">
        <v>26</v>
      </c>
    </row>
    <row r="7" spans="1:3">
      <c r="A7" s="17" t="s">
        <v>1067</v>
      </c>
      <c r="B7" s="19">
        <v>24.5</v>
      </c>
      <c r="C7" s="19">
        <v>25.5</v>
      </c>
    </row>
    <row r="8" spans="1:3">
      <c r="A8" s="17" t="s">
        <v>1086</v>
      </c>
      <c r="B8" s="19">
        <v>25</v>
      </c>
      <c r="C8" s="19">
        <v>26</v>
      </c>
    </row>
    <row r="9" spans="1:3">
      <c r="A9" s="17" t="s">
        <v>1056</v>
      </c>
      <c r="B9" s="19">
        <v>26</v>
      </c>
      <c r="C9" s="19">
        <v>28</v>
      </c>
    </row>
    <row r="10" spans="1:3">
      <c r="A10" s="17" t="s">
        <v>1054</v>
      </c>
      <c r="B10" s="19">
        <v>25</v>
      </c>
      <c r="C10" s="19">
        <v>26</v>
      </c>
    </row>
    <row r="11" spans="1:3">
      <c r="A11" s="17" t="s">
        <v>1072</v>
      </c>
      <c r="B11" s="19">
        <v>30</v>
      </c>
      <c r="C11" s="19">
        <v>35</v>
      </c>
    </row>
    <row r="12" spans="1:3">
      <c r="A12" s="17" t="s">
        <v>1057</v>
      </c>
      <c r="B12" s="19">
        <v>28</v>
      </c>
      <c r="C12" s="19">
        <v>29</v>
      </c>
    </row>
    <row r="13" spans="1:3">
      <c r="A13" s="17" t="s">
        <v>1092</v>
      </c>
      <c r="B13" s="19">
        <v>26</v>
      </c>
      <c r="C13" s="19">
        <v>28</v>
      </c>
    </row>
    <row r="14" spans="1:3">
      <c r="A14" s="17" t="s">
        <v>1070</v>
      </c>
      <c r="B14" s="19">
        <v>25</v>
      </c>
      <c r="C14" s="19">
        <v>26</v>
      </c>
    </row>
    <row r="15" spans="1:3">
      <c r="A15" s="17" t="s">
        <v>1076</v>
      </c>
      <c r="B15" s="19">
        <v>30</v>
      </c>
      <c r="C15" s="19">
        <v>32</v>
      </c>
    </row>
    <row r="16" spans="1:3">
      <c r="A16" s="17" t="s">
        <v>1055</v>
      </c>
      <c r="B16" s="19">
        <v>27</v>
      </c>
      <c r="C16" s="19">
        <v>29</v>
      </c>
    </row>
    <row r="17" spans="1:3">
      <c r="A17" s="17" t="s">
        <v>1066</v>
      </c>
      <c r="B17" s="19">
        <v>28</v>
      </c>
      <c r="C17" s="19">
        <v>33</v>
      </c>
    </row>
    <row r="18" spans="1:3">
      <c r="A18" s="17" t="s">
        <v>1050</v>
      </c>
      <c r="B18" s="19">
        <v>35</v>
      </c>
      <c r="C18" s="19">
        <v>38</v>
      </c>
    </row>
    <row r="19" spans="1:3">
      <c r="A19" s="17" t="s">
        <v>1068</v>
      </c>
      <c r="B19" s="19">
        <v>27</v>
      </c>
      <c r="C19" s="19">
        <v>29</v>
      </c>
    </row>
    <row r="20" spans="1:3">
      <c r="A20" s="17" t="s">
        <v>1085</v>
      </c>
      <c r="B20" s="19">
        <v>26</v>
      </c>
      <c r="C20" s="19">
        <v>28</v>
      </c>
    </row>
    <row r="21" spans="1:3">
      <c r="A21" s="17" t="s">
        <v>1084</v>
      </c>
      <c r="B21" s="19">
        <v>27</v>
      </c>
      <c r="C21" s="19">
        <v>29</v>
      </c>
    </row>
    <row r="22" spans="1:3">
      <c r="A22" s="17" t="s">
        <v>1071</v>
      </c>
      <c r="B22" s="19">
        <v>24</v>
      </c>
      <c r="C22" s="19">
        <v>26</v>
      </c>
    </row>
    <row r="23" spans="1:3">
      <c r="A23" s="17" t="s">
        <v>1078</v>
      </c>
      <c r="B23" s="19">
        <v>26</v>
      </c>
      <c r="C23" s="19">
        <v>30</v>
      </c>
    </row>
    <row r="24" spans="1:3">
      <c r="A24" s="17" t="s">
        <v>1075</v>
      </c>
      <c r="B24" s="19">
        <v>28</v>
      </c>
      <c r="C24" s="19">
        <v>32</v>
      </c>
    </row>
    <row r="25" spans="1:3">
      <c r="A25" s="17" t="s">
        <v>1058</v>
      </c>
      <c r="B25" s="19">
        <v>24</v>
      </c>
      <c r="C25" s="19">
        <v>26</v>
      </c>
    </row>
    <row r="26" spans="1:3">
      <c r="A26" s="17" t="s">
        <v>1051</v>
      </c>
      <c r="B26" s="19">
        <v>30</v>
      </c>
      <c r="C26" s="19">
        <v>31</v>
      </c>
    </row>
    <row r="27" spans="1:3">
      <c r="A27" s="17" t="s">
        <v>1053</v>
      </c>
      <c r="B27" s="19">
        <v>29</v>
      </c>
      <c r="C27" s="19">
        <v>31</v>
      </c>
    </row>
    <row r="28" spans="1:3">
      <c r="A28" s="17" t="s">
        <v>1052</v>
      </c>
      <c r="B28" s="19">
        <v>27</v>
      </c>
      <c r="C28" s="19">
        <v>27</v>
      </c>
    </row>
    <row r="29" spans="1:3">
      <c r="A29" s="17" t="s">
        <v>1060</v>
      </c>
      <c r="B29" s="19">
        <v>26</v>
      </c>
      <c r="C29" s="19">
        <v>28</v>
      </c>
    </row>
    <row r="30" spans="1:3">
      <c r="A30" s="17" t="s">
        <v>1069</v>
      </c>
      <c r="B30" s="19">
        <v>30.5</v>
      </c>
      <c r="C30" s="19">
        <v>30.5</v>
      </c>
    </row>
    <row r="31" spans="1:3">
      <c r="A31" s="17" t="s">
        <v>1091</v>
      </c>
      <c r="B31" s="19">
        <v>35</v>
      </c>
      <c r="C31" s="19">
        <v>38</v>
      </c>
    </row>
    <row r="32" spans="1:3">
      <c r="A32" s="17" t="s">
        <v>1079</v>
      </c>
      <c r="B32" s="19">
        <v>27</v>
      </c>
      <c r="C32" s="19">
        <v>32</v>
      </c>
    </row>
    <row r="33" spans="1:3">
      <c r="A33" s="17" t="s">
        <v>1080</v>
      </c>
      <c r="B33" s="19">
        <v>31</v>
      </c>
      <c r="C33" s="19">
        <v>33</v>
      </c>
    </row>
    <row r="34" spans="1:3">
      <c r="A34" s="17" t="s">
        <v>1077</v>
      </c>
      <c r="B34" s="19">
        <v>27</v>
      </c>
      <c r="C34" s="19">
        <v>29</v>
      </c>
    </row>
    <row r="35" spans="1:3">
      <c r="A35" s="17" t="s">
        <v>1074</v>
      </c>
      <c r="B35" s="19">
        <v>33</v>
      </c>
      <c r="C35" s="19">
        <v>38</v>
      </c>
    </row>
    <row r="36" spans="1:3">
      <c r="A36" s="17" t="s">
        <v>1089</v>
      </c>
      <c r="B36" s="19">
        <v>30</v>
      </c>
      <c r="C36" s="19">
        <v>30</v>
      </c>
    </row>
    <row r="37" spans="1:3">
      <c r="A37" s="17" t="s">
        <v>1082</v>
      </c>
      <c r="B37" s="19">
        <v>30</v>
      </c>
      <c r="C37" s="19">
        <v>32</v>
      </c>
    </row>
    <row r="38" spans="1:3">
      <c r="A38" s="17" t="s">
        <v>1083</v>
      </c>
      <c r="B38" s="19">
        <v>33</v>
      </c>
      <c r="C38" s="19">
        <v>38</v>
      </c>
    </row>
    <row r="39" spans="1:3">
      <c r="A39" s="17" t="s">
        <v>1064</v>
      </c>
      <c r="B39" s="19">
        <v>25</v>
      </c>
      <c r="C39" s="19">
        <v>27</v>
      </c>
    </row>
    <row r="40" spans="1:3">
      <c r="A40" s="17" t="s">
        <v>1063</v>
      </c>
      <c r="B40" s="19">
        <v>27.8</v>
      </c>
      <c r="C40" s="19">
        <v>32</v>
      </c>
    </row>
    <row r="41" spans="1:3">
      <c r="A41" s="17" t="s">
        <v>1088</v>
      </c>
      <c r="B41" s="19">
        <v>32</v>
      </c>
      <c r="C41" s="19">
        <v>33</v>
      </c>
    </row>
    <row r="42" spans="1:3">
      <c r="A42" s="17" t="s">
        <v>1059</v>
      </c>
      <c r="B42" s="19">
        <v>32</v>
      </c>
      <c r="C42" s="19">
        <v>35</v>
      </c>
    </row>
    <row r="43" spans="1:3">
      <c r="A43" s="17" t="s">
        <v>1049</v>
      </c>
      <c r="B43" s="19">
        <v>35</v>
      </c>
      <c r="C43" s="19">
        <v>36</v>
      </c>
    </row>
    <row r="44" spans="1:3">
      <c r="A44" s="17" t="s">
        <v>1081</v>
      </c>
      <c r="B44" s="19">
        <v>33</v>
      </c>
      <c r="C44" s="19">
        <v>38</v>
      </c>
    </row>
    <row r="45" spans="1:3">
      <c r="A45" s="17" t="s">
        <v>1073</v>
      </c>
      <c r="B45" s="19">
        <v>39</v>
      </c>
      <c r="C45" s="19">
        <v>43</v>
      </c>
    </row>
    <row r="46" spans="1:3">
      <c r="A46" s="17" t="s">
        <v>1062</v>
      </c>
      <c r="B46" s="19">
        <v>28</v>
      </c>
      <c r="C46" s="19">
        <v>30</v>
      </c>
    </row>
    <row r="47" spans="1:3">
      <c r="A47" s="17" t="s">
        <v>1061</v>
      </c>
      <c r="B47" s="19">
        <v>30</v>
      </c>
      <c r="C47" s="19">
        <v>30</v>
      </c>
    </row>
    <row r="48" spans="1:3">
      <c r="A48" s="17" t="s">
        <v>1093</v>
      </c>
      <c r="B48" s="19">
        <v>28</v>
      </c>
      <c r="C48" s="19">
        <v>32</v>
      </c>
    </row>
    <row r="49" spans="1:3">
      <c r="A49" s="17" t="s">
        <v>1025</v>
      </c>
      <c r="B49" s="19">
        <v>28.662222222222223</v>
      </c>
      <c r="C49" s="19">
        <v>30.888888888888889</v>
      </c>
    </row>
  </sheetData>
  <phoneticPr fontId="2" type="noConversion"/>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B59E-FA58-FF4A-8DCA-4916F849261E}">
  <dimension ref="A1:C49"/>
  <sheetViews>
    <sheetView topLeftCell="A24" zoomScale="120" zoomScaleNormal="120" workbookViewId="0">
      <selection activeCell="Q29" sqref="Q29"/>
    </sheetView>
  </sheetViews>
  <sheetFormatPr baseColWidth="10" defaultRowHeight="15"/>
  <cols>
    <col min="1" max="1" width="16" bestFit="1" customWidth="1"/>
    <col min="2" max="3" width="18.1640625" bestFit="1" customWidth="1"/>
    <col min="4" max="4" width="13.83203125" bestFit="1" customWidth="1"/>
  </cols>
  <sheetData>
    <row r="1" spans="1:3">
      <c r="A1" s="16" t="s">
        <v>1027</v>
      </c>
      <c r="B1" t="s">
        <v>1026</v>
      </c>
    </row>
    <row r="3" spans="1:3">
      <c r="A3" s="16" t="s">
        <v>1024</v>
      </c>
      <c r="B3" t="s">
        <v>1116</v>
      </c>
      <c r="C3" t="s">
        <v>1117</v>
      </c>
    </row>
    <row r="4" spans="1:3">
      <c r="A4" s="17" t="s">
        <v>1065</v>
      </c>
      <c r="B4" s="20">
        <v>0.33</v>
      </c>
      <c r="C4" s="20">
        <v>0.40899999999999997</v>
      </c>
    </row>
    <row r="5" spans="1:3">
      <c r="A5" s="17" t="s">
        <v>1090</v>
      </c>
      <c r="B5" s="20">
        <v>0.32</v>
      </c>
      <c r="C5" s="20">
        <v>0.39800000000000002</v>
      </c>
    </row>
    <row r="6" spans="1:3">
      <c r="A6" s="17" t="s">
        <v>1087</v>
      </c>
      <c r="B6" s="20">
        <v>0.315</v>
      </c>
      <c r="C6" s="20">
        <v>0.49559999999999998</v>
      </c>
    </row>
    <row r="7" spans="1:3">
      <c r="A7" s="17" t="s">
        <v>1067</v>
      </c>
      <c r="B7" s="20">
        <v>0.32</v>
      </c>
      <c r="C7" s="20">
        <v>0.48259999999999997</v>
      </c>
    </row>
    <row r="8" spans="1:3">
      <c r="A8" s="17" t="s">
        <v>1086</v>
      </c>
      <c r="B8" s="20">
        <v>0.32600000000000001</v>
      </c>
      <c r="C8" s="20">
        <v>0.44269999999999998</v>
      </c>
    </row>
    <row r="9" spans="1:3">
      <c r="A9" s="17" t="s">
        <v>1056</v>
      </c>
      <c r="B9" s="20">
        <v>0.315</v>
      </c>
      <c r="C9" s="20">
        <v>0.44230000000000003</v>
      </c>
    </row>
    <row r="10" spans="1:3">
      <c r="A10" s="17" t="s">
        <v>1054</v>
      </c>
      <c r="B10" s="20">
        <v>0.315</v>
      </c>
      <c r="C10" s="20">
        <v>0.45669999999999999</v>
      </c>
    </row>
    <row r="11" spans="1:3">
      <c r="A11" s="17" t="s">
        <v>1072</v>
      </c>
      <c r="B11" s="20">
        <v>0.33500000000000002</v>
      </c>
      <c r="C11" s="20">
        <v>0.31069999999999998</v>
      </c>
    </row>
    <row r="12" spans="1:3">
      <c r="A12" s="17" t="s">
        <v>1057</v>
      </c>
      <c r="B12" s="20">
        <v>0.33500000000000002</v>
      </c>
      <c r="C12" s="20">
        <v>0.52939999999999998</v>
      </c>
    </row>
    <row r="13" spans="1:3">
      <c r="A13" s="17" t="s">
        <v>1092</v>
      </c>
      <c r="B13" s="20">
        <v>0.315</v>
      </c>
      <c r="C13" s="20">
        <v>0.46139999999999998</v>
      </c>
    </row>
    <row r="14" spans="1:3">
      <c r="A14" s="17" t="s">
        <v>1070</v>
      </c>
      <c r="B14" s="20">
        <v>0.31859999999999999</v>
      </c>
      <c r="C14" s="20">
        <v>0.47989999999999999</v>
      </c>
    </row>
    <row r="15" spans="1:3">
      <c r="A15" s="17" t="s">
        <v>1076</v>
      </c>
      <c r="B15" s="20">
        <v>0.33350000000000002</v>
      </c>
      <c r="C15" s="20">
        <v>0.43919999999999998</v>
      </c>
    </row>
    <row r="16" spans="1:3">
      <c r="A16" s="17" t="s">
        <v>1055</v>
      </c>
      <c r="B16" s="20">
        <v>0.31900000000000001</v>
      </c>
      <c r="C16" s="20">
        <v>0.60160000000000002</v>
      </c>
    </row>
    <row r="17" spans="1:3">
      <c r="A17" s="17" t="s">
        <v>1066</v>
      </c>
      <c r="B17" s="20">
        <v>0.32250000000000001</v>
      </c>
      <c r="C17" s="20">
        <v>0.4743</v>
      </c>
    </row>
    <row r="18" spans="1:3">
      <c r="A18" s="17" t="s">
        <v>1050</v>
      </c>
      <c r="B18" s="20">
        <v>0.33800000000000002</v>
      </c>
      <c r="C18" s="20">
        <v>0.45529999999999998</v>
      </c>
    </row>
    <row r="19" spans="1:3">
      <c r="A19" s="17" t="s">
        <v>1068</v>
      </c>
      <c r="B19" s="20">
        <v>0.33500000000000002</v>
      </c>
      <c r="C19" s="20">
        <v>0.57489999999999997</v>
      </c>
    </row>
    <row r="20" spans="1:3">
      <c r="A20" s="17" t="s">
        <v>1085</v>
      </c>
      <c r="B20" s="20">
        <v>0.33750000000000002</v>
      </c>
      <c r="C20" s="20">
        <v>0.6502</v>
      </c>
    </row>
    <row r="21" spans="1:3">
      <c r="A21" s="17" t="s">
        <v>1084</v>
      </c>
      <c r="B21" s="20">
        <v>0.33500000000000002</v>
      </c>
      <c r="C21" s="20">
        <v>0.59850000000000003</v>
      </c>
    </row>
    <row r="22" spans="1:3">
      <c r="A22" s="17" t="s">
        <v>1071</v>
      </c>
      <c r="B22" s="20">
        <v>0.32</v>
      </c>
      <c r="C22" s="20">
        <v>0.50539999999999996</v>
      </c>
    </row>
    <row r="23" spans="1:3">
      <c r="A23" s="17" t="s">
        <v>1078</v>
      </c>
      <c r="B23" s="20">
        <v>0.34</v>
      </c>
      <c r="C23" s="20">
        <v>0.44359999999999999</v>
      </c>
    </row>
    <row r="24" spans="1:3">
      <c r="A24" s="17" t="s">
        <v>1075</v>
      </c>
      <c r="B24" s="20">
        <v>0.36799999999999999</v>
      </c>
      <c r="C24" s="20">
        <v>0.40210000000000001</v>
      </c>
    </row>
    <row r="25" spans="1:3">
      <c r="A25" s="17" t="s">
        <v>1058</v>
      </c>
      <c r="B25" s="20">
        <v>0.315</v>
      </c>
      <c r="C25" s="20">
        <v>0.3397</v>
      </c>
    </row>
    <row r="26" spans="1:3">
      <c r="A26" s="17" t="s">
        <v>1051</v>
      </c>
      <c r="B26" s="20">
        <v>0.32</v>
      </c>
      <c r="C26" s="20">
        <v>0.44209999999999999</v>
      </c>
    </row>
    <row r="27" spans="1:3">
      <c r="A27" s="17" t="s">
        <v>1053</v>
      </c>
      <c r="B27" s="20">
        <v>0.32</v>
      </c>
      <c r="C27" s="20">
        <v>0.55610000000000004</v>
      </c>
    </row>
    <row r="28" spans="1:3">
      <c r="A28" s="17" t="s">
        <v>1052</v>
      </c>
      <c r="B28" s="20">
        <v>0.33</v>
      </c>
      <c r="C28" s="20">
        <v>0.3347</v>
      </c>
    </row>
    <row r="29" spans="1:3">
      <c r="A29" s="17" t="s">
        <v>1060</v>
      </c>
      <c r="B29" s="20">
        <v>0.32500000000000001</v>
      </c>
      <c r="C29" s="20">
        <v>0.50209999999999999</v>
      </c>
    </row>
    <row r="30" spans="1:3">
      <c r="A30" s="17" t="s">
        <v>1069</v>
      </c>
      <c r="B30" s="20">
        <v>0.31900000000000001</v>
      </c>
      <c r="C30" s="20">
        <v>0.50739999999999996</v>
      </c>
    </row>
    <row r="31" spans="1:3">
      <c r="A31" s="17" t="s">
        <v>1091</v>
      </c>
      <c r="B31" s="20">
        <v>0.32</v>
      </c>
      <c r="C31" s="20">
        <v>0.49530000000000002</v>
      </c>
    </row>
    <row r="32" spans="1:3">
      <c r="A32" s="17" t="s">
        <v>1079</v>
      </c>
      <c r="B32" s="20">
        <v>0.33</v>
      </c>
      <c r="C32" s="20">
        <v>0.53259999999999996</v>
      </c>
    </row>
    <row r="33" spans="1:3">
      <c r="A33" s="17" t="s">
        <v>1080</v>
      </c>
      <c r="B33" s="20">
        <v>0.32</v>
      </c>
      <c r="C33" s="20">
        <v>0.46450000000000002</v>
      </c>
    </row>
    <row r="34" spans="1:3">
      <c r="A34" s="17" t="s">
        <v>1077</v>
      </c>
      <c r="B34" s="20">
        <v>0.315</v>
      </c>
      <c r="C34" s="20">
        <v>0.47499999999999998</v>
      </c>
    </row>
    <row r="35" spans="1:3">
      <c r="A35" s="17" t="s">
        <v>1074</v>
      </c>
      <c r="B35" s="20">
        <v>0.33500000000000002</v>
      </c>
      <c r="C35" s="20">
        <v>0.44180000000000003</v>
      </c>
    </row>
    <row r="36" spans="1:3">
      <c r="A36" s="17" t="s">
        <v>1089</v>
      </c>
      <c r="B36" s="20">
        <v>0.32</v>
      </c>
      <c r="C36" s="20">
        <v>0.4622</v>
      </c>
    </row>
    <row r="37" spans="1:3">
      <c r="A37" s="17" t="s">
        <v>1082</v>
      </c>
      <c r="B37" s="20">
        <v>0.33</v>
      </c>
      <c r="C37" s="20">
        <v>0.36220000000000002</v>
      </c>
    </row>
    <row r="38" spans="1:3">
      <c r="A38" s="17" t="s">
        <v>1083</v>
      </c>
      <c r="B38" s="20">
        <v>0.3327</v>
      </c>
      <c r="C38" s="20">
        <v>0.38300000000000001</v>
      </c>
    </row>
    <row r="39" spans="1:3">
      <c r="A39" s="17" t="s">
        <v>1064</v>
      </c>
      <c r="B39" s="20">
        <v>0.32</v>
      </c>
      <c r="C39" s="20">
        <v>0.45540000000000003</v>
      </c>
    </row>
    <row r="40" spans="1:3">
      <c r="A40" s="17" t="s">
        <v>1063</v>
      </c>
      <c r="B40" s="20">
        <v>0.33129999999999998</v>
      </c>
      <c r="C40" s="20">
        <v>0.46150000000000002</v>
      </c>
    </row>
    <row r="41" spans="1:3">
      <c r="A41" s="17" t="s">
        <v>1088</v>
      </c>
      <c r="B41" s="20">
        <v>0.32100000000000001</v>
      </c>
      <c r="C41" s="20">
        <v>0.51349999999999996</v>
      </c>
    </row>
    <row r="42" spans="1:3">
      <c r="A42" s="17" t="s">
        <v>1059</v>
      </c>
      <c r="B42" s="20">
        <v>0.32500000000000001</v>
      </c>
      <c r="C42" s="20">
        <v>0.45660000000000001</v>
      </c>
    </row>
    <row r="43" spans="1:3">
      <c r="A43" s="17" t="s">
        <v>1049</v>
      </c>
      <c r="B43" s="20">
        <v>0.33900000000000002</v>
      </c>
      <c r="C43" s="20">
        <v>0.50270000000000004</v>
      </c>
    </row>
    <row r="44" spans="1:3">
      <c r="A44" s="17" t="s">
        <v>1081</v>
      </c>
      <c r="B44" s="20">
        <v>0.33</v>
      </c>
      <c r="C44" s="20">
        <v>0.57020000000000004</v>
      </c>
    </row>
    <row r="45" spans="1:3">
      <c r="A45" s="17" t="s">
        <v>1073</v>
      </c>
      <c r="B45" s="20">
        <v>0.33500000000000002</v>
      </c>
      <c r="C45" s="20">
        <v>0.49540000000000001</v>
      </c>
    </row>
    <row r="46" spans="1:3">
      <c r="A46" s="17" t="s">
        <v>1062</v>
      </c>
      <c r="B46" s="20">
        <v>0.32</v>
      </c>
      <c r="C46" s="20">
        <v>0.4556</v>
      </c>
    </row>
    <row r="47" spans="1:3">
      <c r="A47" s="17" t="s">
        <v>1061</v>
      </c>
      <c r="B47" s="20">
        <v>0.315</v>
      </c>
      <c r="C47" s="20">
        <v>0.45700000000000002</v>
      </c>
    </row>
    <row r="48" spans="1:3">
      <c r="A48" s="17" t="s">
        <v>1093</v>
      </c>
      <c r="B48" s="20">
        <v>0.32</v>
      </c>
      <c r="C48" s="20">
        <v>0.38140000000000002</v>
      </c>
    </row>
    <row r="49" spans="1:3">
      <c r="A49" s="17" t="s">
        <v>1025</v>
      </c>
      <c r="B49" s="20">
        <v>0.32624666666666674</v>
      </c>
      <c r="C49" s="20">
        <v>0.46892000000000011</v>
      </c>
    </row>
  </sheetData>
  <sortState xmlns:xlrd2="http://schemas.microsoft.com/office/spreadsheetml/2017/richdata2" ref="A3:C49">
    <sortCondition ref="A45"/>
  </sortState>
  <phoneticPr fontId="2" type="noConversion"/>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4E83E-2A16-2344-9A12-07F03AFD6B7F}">
  <dimension ref="A1:B60"/>
  <sheetViews>
    <sheetView topLeftCell="A29" zoomScale="150" workbookViewId="0">
      <selection activeCell="A58" sqref="A58:A59"/>
    </sheetView>
  </sheetViews>
  <sheetFormatPr baseColWidth="10" defaultRowHeight="15"/>
  <cols>
    <col min="1" max="1" width="20.33203125" bestFit="1" customWidth="1"/>
    <col min="2" max="2" width="13.6640625" bestFit="1" customWidth="1"/>
    <col min="3" max="3" width="10" bestFit="1" customWidth="1"/>
    <col min="4" max="4" width="8" bestFit="1" customWidth="1"/>
    <col min="5" max="6" width="10" bestFit="1" customWidth="1"/>
    <col min="7" max="7" width="12" bestFit="1" customWidth="1"/>
    <col min="8" max="8" width="8.33203125" bestFit="1" customWidth="1"/>
    <col min="9" max="9" width="8" bestFit="1" customWidth="1"/>
    <col min="10" max="10" width="10" bestFit="1" customWidth="1"/>
    <col min="11" max="11" width="12" bestFit="1" customWidth="1"/>
    <col min="12" max="12" width="8" bestFit="1" customWidth="1"/>
    <col min="13" max="14" width="12" bestFit="1" customWidth="1"/>
    <col min="15" max="16" width="10" bestFit="1" customWidth="1"/>
    <col min="17" max="17" width="12" bestFit="1" customWidth="1"/>
    <col min="18" max="21" width="10" bestFit="1" customWidth="1"/>
    <col min="22" max="23" width="8" bestFit="1" customWidth="1"/>
    <col min="24" max="24" width="10" bestFit="1" customWidth="1"/>
    <col min="25" max="25" width="12" bestFit="1" customWidth="1"/>
    <col min="26" max="26" width="8" bestFit="1" customWidth="1"/>
    <col min="27" max="28" width="10" bestFit="1" customWidth="1"/>
    <col min="29" max="29" width="12" bestFit="1" customWidth="1"/>
    <col min="30" max="32" width="10" bestFit="1" customWidth="1"/>
    <col min="33" max="33" width="8" bestFit="1" customWidth="1"/>
    <col min="34" max="34" width="12" bestFit="1" customWidth="1"/>
    <col min="35" max="35" width="6.33203125" bestFit="1" customWidth="1"/>
    <col min="36" max="38" width="9" bestFit="1" customWidth="1"/>
    <col min="39" max="41" width="10" bestFit="1" customWidth="1"/>
    <col min="42" max="43" width="8" bestFit="1" customWidth="1"/>
    <col min="44" max="45" width="10" bestFit="1" customWidth="1"/>
    <col min="46" max="46" width="6" bestFit="1" customWidth="1"/>
    <col min="47" max="48" width="12" bestFit="1" customWidth="1"/>
    <col min="49" max="50" width="8" bestFit="1" customWidth="1"/>
    <col min="51" max="51" width="6" bestFit="1" customWidth="1"/>
  </cols>
  <sheetData>
    <row r="1" spans="1:2">
      <c r="A1" s="16" t="s">
        <v>1027</v>
      </c>
      <c r="B1" t="s">
        <v>1026</v>
      </c>
    </row>
    <row r="3" spans="1:2">
      <c r="A3" s="16" t="s">
        <v>1024</v>
      </c>
      <c r="B3" t="s">
        <v>1046</v>
      </c>
    </row>
    <row r="4" spans="1:2">
      <c r="A4" s="17" t="s">
        <v>1003</v>
      </c>
      <c r="B4" s="18">
        <v>12</v>
      </c>
    </row>
    <row r="5" spans="1:2">
      <c r="A5" s="21" t="s">
        <v>1087</v>
      </c>
      <c r="B5" s="18">
        <v>1</v>
      </c>
    </row>
    <row r="6" spans="1:2">
      <c r="A6" s="21" t="s">
        <v>1067</v>
      </c>
      <c r="B6" s="18">
        <v>1</v>
      </c>
    </row>
    <row r="7" spans="1:2">
      <c r="A7" s="21" t="s">
        <v>1054</v>
      </c>
      <c r="B7" s="18">
        <v>1</v>
      </c>
    </row>
    <row r="8" spans="1:2">
      <c r="A8" s="21" t="s">
        <v>1092</v>
      </c>
      <c r="B8" s="18">
        <v>1</v>
      </c>
    </row>
    <row r="9" spans="1:2">
      <c r="A9" s="21" t="s">
        <v>1076</v>
      </c>
      <c r="B9" s="18">
        <v>1</v>
      </c>
    </row>
    <row r="10" spans="1:2">
      <c r="A10" s="21" t="s">
        <v>1084</v>
      </c>
      <c r="B10" s="18">
        <v>1</v>
      </c>
    </row>
    <row r="11" spans="1:2">
      <c r="A11" s="21" t="s">
        <v>1071</v>
      </c>
      <c r="B11" s="18">
        <v>1</v>
      </c>
    </row>
    <row r="12" spans="1:2">
      <c r="A12" s="21" t="s">
        <v>1058</v>
      </c>
      <c r="B12" s="18">
        <v>1</v>
      </c>
    </row>
    <row r="13" spans="1:2">
      <c r="A13" s="21" t="s">
        <v>1069</v>
      </c>
      <c r="B13" s="18">
        <v>1</v>
      </c>
    </row>
    <row r="14" spans="1:2">
      <c r="A14" s="21" t="s">
        <v>1077</v>
      </c>
      <c r="B14" s="18">
        <v>1</v>
      </c>
    </row>
    <row r="15" spans="1:2">
      <c r="A15" s="21" t="s">
        <v>1062</v>
      </c>
      <c r="B15" s="18">
        <v>1</v>
      </c>
    </row>
    <row r="16" spans="1:2">
      <c r="A16" s="21" t="s">
        <v>1061</v>
      </c>
      <c r="B16" s="18">
        <v>1</v>
      </c>
    </row>
    <row r="17" spans="1:2">
      <c r="A17" s="17" t="s">
        <v>1005</v>
      </c>
      <c r="B17" s="18">
        <v>2</v>
      </c>
    </row>
    <row r="18" spans="1:2">
      <c r="A18" s="21" t="s">
        <v>1086</v>
      </c>
      <c r="B18" s="18">
        <v>1</v>
      </c>
    </row>
    <row r="19" spans="1:2">
      <c r="A19" s="21" t="s">
        <v>1051</v>
      </c>
      <c r="B19" s="18">
        <v>1</v>
      </c>
    </row>
    <row r="20" spans="1:2">
      <c r="A20" s="17" t="s">
        <v>1007</v>
      </c>
      <c r="B20" s="18">
        <v>10</v>
      </c>
    </row>
    <row r="21" spans="1:2">
      <c r="A21" s="21" t="s">
        <v>1056</v>
      </c>
      <c r="B21" s="18">
        <v>1</v>
      </c>
    </row>
    <row r="22" spans="1:2">
      <c r="A22" s="21" t="s">
        <v>1070</v>
      </c>
      <c r="B22" s="18">
        <v>1</v>
      </c>
    </row>
    <row r="23" spans="1:2">
      <c r="A23" s="21" t="s">
        <v>1085</v>
      </c>
      <c r="B23" s="18">
        <v>1</v>
      </c>
    </row>
    <row r="24" spans="1:2">
      <c r="A24" s="21" t="s">
        <v>1078</v>
      </c>
      <c r="B24" s="18">
        <v>1</v>
      </c>
    </row>
    <row r="25" spans="1:2">
      <c r="A25" s="21" t="s">
        <v>1053</v>
      </c>
      <c r="B25" s="18">
        <v>1</v>
      </c>
    </row>
    <row r="26" spans="1:2">
      <c r="A26" s="21" t="s">
        <v>1060</v>
      </c>
      <c r="B26" s="18">
        <v>1</v>
      </c>
    </row>
    <row r="27" spans="1:2">
      <c r="A27" s="21" t="s">
        <v>1080</v>
      </c>
      <c r="B27" s="18">
        <v>1</v>
      </c>
    </row>
    <row r="28" spans="1:2">
      <c r="A28" s="21" t="s">
        <v>1064</v>
      </c>
      <c r="B28" s="18">
        <v>1</v>
      </c>
    </row>
    <row r="29" spans="1:2">
      <c r="A29" s="21" t="s">
        <v>1081</v>
      </c>
      <c r="B29" s="18">
        <v>1</v>
      </c>
    </row>
    <row r="30" spans="1:2">
      <c r="A30" s="21" t="s">
        <v>1093</v>
      </c>
      <c r="B30" s="18">
        <v>1</v>
      </c>
    </row>
    <row r="31" spans="1:2">
      <c r="A31" s="17" t="s">
        <v>1001</v>
      </c>
      <c r="B31" s="18">
        <v>3</v>
      </c>
    </row>
    <row r="32" spans="1:2">
      <c r="A32" s="21" t="s">
        <v>1090</v>
      </c>
      <c r="B32" s="18">
        <v>1</v>
      </c>
    </row>
    <row r="33" spans="1:2">
      <c r="A33" s="21" t="s">
        <v>1075</v>
      </c>
      <c r="B33" s="18">
        <v>1</v>
      </c>
    </row>
    <row r="34" spans="1:2">
      <c r="A34" s="21" t="s">
        <v>1089</v>
      </c>
      <c r="B34" s="18">
        <v>1</v>
      </c>
    </row>
    <row r="35" spans="1:2">
      <c r="A35" s="17" t="s">
        <v>1013</v>
      </c>
      <c r="B35" s="18">
        <v>4</v>
      </c>
    </row>
    <row r="36" spans="1:2">
      <c r="A36" s="21" t="s">
        <v>1066</v>
      </c>
      <c r="B36" s="18">
        <v>1</v>
      </c>
    </row>
    <row r="37" spans="1:2">
      <c r="A37" s="21" t="s">
        <v>1082</v>
      </c>
      <c r="B37" s="18">
        <v>1</v>
      </c>
    </row>
    <row r="38" spans="1:2">
      <c r="A38" s="21" t="s">
        <v>1063</v>
      </c>
      <c r="B38" s="18">
        <v>1</v>
      </c>
    </row>
    <row r="39" spans="1:2">
      <c r="A39" s="21" t="s">
        <v>1059</v>
      </c>
      <c r="B39" s="18">
        <v>1</v>
      </c>
    </row>
    <row r="40" spans="1:2">
      <c r="A40" s="17" t="s">
        <v>1019</v>
      </c>
      <c r="B40" s="18">
        <v>1</v>
      </c>
    </row>
    <row r="41" spans="1:2">
      <c r="A41" s="21" t="s">
        <v>1088</v>
      </c>
      <c r="B41" s="18">
        <v>1</v>
      </c>
    </row>
    <row r="42" spans="1:2">
      <c r="A42" s="17" t="s">
        <v>999</v>
      </c>
      <c r="B42" s="18">
        <v>3</v>
      </c>
    </row>
    <row r="43" spans="1:2">
      <c r="A43" s="21" t="s">
        <v>1065</v>
      </c>
      <c r="B43" s="18">
        <v>1</v>
      </c>
    </row>
    <row r="44" spans="1:2">
      <c r="A44" s="21" t="s">
        <v>1055</v>
      </c>
      <c r="B44" s="18">
        <v>1</v>
      </c>
    </row>
    <row r="45" spans="1:2">
      <c r="A45" s="21" t="s">
        <v>1079</v>
      </c>
      <c r="B45" s="18">
        <v>1</v>
      </c>
    </row>
    <row r="46" spans="1:2">
      <c r="A46" s="17" t="s">
        <v>1009</v>
      </c>
      <c r="B46" s="18">
        <v>1</v>
      </c>
    </row>
    <row r="47" spans="1:2">
      <c r="A47" s="21" t="s">
        <v>1072</v>
      </c>
      <c r="B47" s="18">
        <v>1</v>
      </c>
    </row>
    <row r="48" spans="1:2">
      <c r="A48" s="17" t="s">
        <v>1021</v>
      </c>
      <c r="B48" s="18">
        <v>1</v>
      </c>
    </row>
    <row r="49" spans="1:2">
      <c r="A49" s="21" t="s">
        <v>1073</v>
      </c>
      <c r="B49" s="18">
        <v>1</v>
      </c>
    </row>
    <row r="50" spans="1:2">
      <c r="A50" s="17" t="s">
        <v>1017</v>
      </c>
      <c r="B50" s="18">
        <v>5</v>
      </c>
    </row>
    <row r="51" spans="1:2">
      <c r="A51" s="21" t="s">
        <v>1068</v>
      </c>
      <c r="B51" s="18">
        <v>1</v>
      </c>
    </row>
    <row r="52" spans="1:2">
      <c r="A52" s="21" t="s">
        <v>1091</v>
      </c>
      <c r="B52" s="18">
        <v>1</v>
      </c>
    </row>
    <row r="53" spans="1:2">
      <c r="A53" s="21" t="s">
        <v>1074</v>
      </c>
      <c r="B53" s="18">
        <v>1</v>
      </c>
    </row>
    <row r="54" spans="1:2">
      <c r="A54" s="21" t="s">
        <v>1083</v>
      </c>
      <c r="B54" s="18">
        <v>1</v>
      </c>
    </row>
    <row r="55" spans="1:2">
      <c r="A55" s="21" t="s">
        <v>1049</v>
      </c>
      <c r="B55" s="18">
        <v>1</v>
      </c>
    </row>
    <row r="56" spans="1:2">
      <c r="A56" s="17" t="s">
        <v>1011</v>
      </c>
      <c r="B56" s="18">
        <v>1</v>
      </c>
    </row>
    <row r="57" spans="1:2">
      <c r="A57" s="21" t="s">
        <v>1057</v>
      </c>
      <c r="B57" s="18">
        <v>1</v>
      </c>
    </row>
    <row r="58" spans="1:2">
      <c r="A58" s="17" t="s">
        <v>1015</v>
      </c>
      <c r="B58" s="18">
        <v>1</v>
      </c>
    </row>
    <row r="59" spans="1:2">
      <c r="A59" s="21" t="s">
        <v>1050</v>
      </c>
      <c r="B59" s="18">
        <v>1</v>
      </c>
    </row>
    <row r="60" spans="1:2">
      <c r="A60" s="17" t="s">
        <v>1025</v>
      </c>
      <c r="B60" s="18">
        <v>44</v>
      </c>
    </row>
  </sheetData>
  <phoneticPr fontId="2" type="noConversion"/>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7430E-7B5E-4149-8CF1-F7B3FA10EC34}">
  <dimension ref="A3:A83"/>
  <sheetViews>
    <sheetView topLeftCell="A35" workbookViewId="0">
      <selection activeCell="A69" sqref="A69:A71"/>
    </sheetView>
  </sheetViews>
  <sheetFormatPr baseColWidth="10" defaultRowHeight="15"/>
  <cols>
    <col min="1" max="1" width="20.33203125" bestFit="1" customWidth="1"/>
  </cols>
  <sheetData>
    <row r="3" spans="1:1">
      <c r="A3" s="16" t="s">
        <v>1024</v>
      </c>
    </row>
    <row r="4" spans="1:1">
      <c r="A4" s="17" t="s">
        <v>1098</v>
      </c>
    </row>
    <row r="5" spans="1:1">
      <c r="A5" s="21" t="s">
        <v>1049</v>
      </c>
    </row>
    <row r="6" spans="1:1">
      <c r="A6" s="17" t="s">
        <v>253</v>
      </c>
    </row>
    <row r="7" spans="1:1">
      <c r="A7" s="21" t="s">
        <v>1055</v>
      </c>
    </row>
    <row r="8" spans="1:1">
      <c r="A8" s="17" t="s">
        <v>1099</v>
      </c>
    </row>
    <row r="9" spans="1:1">
      <c r="A9" s="21" t="s">
        <v>1050</v>
      </c>
    </row>
    <row r="10" spans="1:1">
      <c r="A10" s="17" t="s">
        <v>393</v>
      </c>
    </row>
    <row r="11" spans="1:1">
      <c r="A11" s="21" t="s">
        <v>1058</v>
      </c>
    </row>
    <row r="12" spans="1:1">
      <c r="A12" s="21" t="s">
        <v>1051</v>
      </c>
    </row>
    <row r="13" spans="1:1">
      <c r="A13" s="21" t="s">
        <v>1052</v>
      </c>
    </row>
    <row r="14" spans="1:1">
      <c r="A14" s="17" t="s">
        <v>1100</v>
      </c>
    </row>
    <row r="15" spans="1:1">
      <c r="A15" s="21" t="s">
        <v>1059</v>
      </c>
    </row>
    <row r="16" spans="1:1">
      <c r="A16" s="17" t="s">
        <v>1101</v>
      </c>
    </row>
    <row r="17" spans="1:1">
      <c r="A17" s="21" t="s">
        <v>1096</v>
      </c>
    </row>
    <row r="18" spans="1:1">
      <c r="A18" s="17" t="s">
        <v>276</v>
      </c>
    </row>
    <row r="19" spans="1:1">
      <c r="A19" s="21" t="s">
        <v>1060</v>
      </c>
    </row>
    <row r="20" spans="1:1">
      <c r="A20" s="21" t="s">
        <v>1062</v>
      </c>
    </row>
    <row r="21" spans="1:1">
      <c r="A21" s="21" t="s">
        <v>1061</v>
      </c>
    </row>
    <row r="22" spans="1:1">
      <c r="A22" s="17" t="s">
        <v>1102</v>
      </c>
    </row>
    <row r="23" spans="1:1">
      <c r="A23" s="21" t="s">
        <v>1063</v>
      </c>
    </row>
    <row r="24" spans="1:1">
      <c r="A24" s="17" t="s">
        <v>103</v>
      </c>
    </row>
    <row r="25" spans="1:1">
      <c r="A25" s="21" t="s">
        <v>1067</v>
      </c>
    </row>
    <row r="26" spans="1:1">
      <c r="A26" s="21" t="s">
        <v>1086</v>
      </c>
    </row>
    <row r="27" spans="1:1">
      <c r="A27" s="17" t="s">
        <v>128</v>
      </c>
    </row>
    <row r="28" spans="1:1">
      <c r="A28" s="21" t="s">
        <v>1056</v>
      </c>
    </row>
    <row r="29" spans="1:1">
      <c r="A29" s="17" t="s">
        <v>451</v>
      </c>
    </row>
    <row r="30" spans="1:1">
      <c r="A30" s="21" t="s">
        <v>1064</v>
      </c>
    </row>
    <row r="31" spans="1:1">
      <c r="A31" s="17" t="s">
        <v>496</v>
      </c>
    </row>
    <row r="32" spans="1:1">
      <c r="A32" s="21" t="s">
        <v>1077</v>
      </c>
    </row>
    <row r="33" spans="1:1">
      <c r="A33" s="17" t="s">
        <v>149</v>
      </c>
    </row>
    <row r="34" spans="1:1">
      <c r="A34" s="21" t="s">
        <v>1065</v>
      </c>
    </row>
    <row r="35" spans="1:1">
      <c r="A35" s="21" t="s">
        <v>1054</v>
      </c>
    </row>
    <row r="36" spans="1:1">
      <c r="A36" s="17" t="s">
        <v>214</v>
      </c>
    </row>
    <row r="37" spans="1:1">
      <c r="A37" s="21" t="s">
        <v>1092</v>
      </c>
    </row>
    <row r="38" spans="1:1">
      <c r="A38" s="21" t="s">
        <v>1066</v>
      </c>
    </row>
    <row r="39" spans="1:1">
      <c r="A39" s="17" t="s">
        <v>1103</v>
      </c>
    </row>
    <row r="40" spans="1:1">
      <c r="A40" s="21" t="s">
        <v>1068</v>
      </c>
    </row>
    <row r="41" spans="1:1">
      <c r="A41" s="17" t="s">
        <v>1104</v>
      </c>
    </row>
    <row r="42" spans="1:1">
      <c r="A42" s="21" t="s">
        <v>1070</v>
      </c>
    </row>
    <row r="43" spans="1:1">
      <c r="A43" s="17" t="s">
        <v>1105</v>
      </c>
    </row>
    <row r="44" spans="1:1">
      <c r="A44" s="21" t="s">
        <v>1095</v>
      </c>
    </row>
    <row r="45" spans="1:1">
      <c r="A45" s="17" t="s">
        <v>168</v>
      </c>
    </row>
    <row r="46" spans="1:1">
      <c r="A46" s="21" t="s">
        <v>1072</v>
      </c>
    </row>
    <row r="47" spans="1:1">
      <c r="A47" s="21" t="s">
        <v>1076</v>
      </c>
    </row>
    <row r="48" spans="1:1">
      <c r="A48" s="21" t="s">
        <v>1075</v>
      </c>
    </row>
    <row r="49" spans="1:1">
      <c r="A49" s="21" t="s">
        <v>1074</v>
      </c>
    </row>
    <row r="50" spans="1:1">
      <c r="A50" s="21" t="s">
        <v>1073</v>
      </c>
    </row>
    <row r="51" spans="1:1">
      <c r="A51" s="17" t="s">
        <v>474</v>
      </c>
    </row>
    <row r="52" spans="1:1">
      <c r="A52" s="21" t="s">
        <v>1079</v>
      </c>
    </row>
    <row r="53" spans="1:1">
      <c r="A53" s="17" t="s">
        <v>317</v>
      </c>
    </row>
    <row r="54" spans="1:1">
      <c r="A54" s="21" t="s">
        <v>1085</v>
      </c>
    </row>
    <row r="55" spans="1:1">
      <c r="A55" s="17" t="s">
        <v>1106</v>
      </c>
    </row>
    <row r="56" spans="1:1">
      <c r="A56" s="21" t="s">
        <v>1084</v>
      </c>
    </row>
    <row r="57" spans="1:1">
      <c r="A57" s="17" t="s">
        <v>1107</v>
      </c>
    </row>
    <row r="58" spans="1:1">
      <c r="A58" s="21" t="s">
        <v>1082</v>
      </c>
    </row>
    <row r="59" spans="1:1">
      <c r="A59" s="21" t="s">
        <v>1083</v>
      </c>
    </row>
    <row r="60" spans="1:1">
      <c r="A60" s="21" t="s">
        <v>1081</v>
      </c>
    </row>
    <row r="61" spans="1:1">
      <c r="A61" s="21" t="s">
        <v>1094</v>
      </c>
    </row>
    <row r="62" spans="1:1">
      <c r="A62" s="17" t="s">
        <v>1108</v>
      </c>
    </row>
    <row r="63" spans="1:1">
      <c r="A63" s="21" t="s">
        <v>1078</v>
      </c>
    </row>
    <row r="64" spans="1:1">
      <c r="A64" s="17" t="s">
        <v>1109</v>
      </c>
    </row>
    <row r="65" spans="1:1">
      <c r="A65" s="21" t="s">
        <v>1089</v>
      </c>
    </row>
    <row r="66" spans="1:1">
      <c r="A66" s="21" t="s">
        <v>1088</v>
      </c>
    </row>
    <row r="67" spans="1:1">
      <c r="A67" s="17" t="s">
        <v>358</v>
      </c>
    </row>
    <row r="68" spans="1:1">
      <c r="A68" s="21" t="s">
        <v>1071</v>
      </c>
    </row>
    <row r="69" spans="1:1">
      <c r="A69" s="21" t="s">
        <v>1053</v>
      </c>
    </row>
    <row r="70" spans="1:1">
      <c r="A70" s="17" t="s">
        <v>1110</v>
      </c>
    </row>
    <row r="71" spans="1:1">
      <c r="A71" s="21" t="s">
        <v>1080</v>
      </c>
    </row>
    <row r="72" spans="1:1">
      <c r="A72" s="17" t="s">
        <v>55</v>
      </c>
    </row>
    <row r="73" spans="1:1">
      <c r="A73" s="21" t="s">
        <v>1090</v>
      </c>
    </row>
    <row r="74" spans="1:1">
      <c r="A74" s="21" t="s">
        <v>1087</v>
      </c>
    </row>
    <row r="75" spans="1:1">
      <c r="A75" s="21" t="s">
        <v>1069</v>
      </c>
    </row>
    <row r="76" spans="1:1">
      <c r="A76" s="21" t="s">
        <v>1091</v>
      </c>
    </row>
    <row r="77" spans="1:1">
      <c r="A77" s="17" t="s">
        <v>1111</v>
      </c>
    </row>
    <row r="78" spans="1:1">
      <c r="A78" s="21" t="s">
        <v>1097</v>
      </c>
    </row>
    <row r="79" spans="1:1">
      <c r="A79" s="17" t="s">
        <v>1112</v>
      </c>
    </row>
    <row r="80" spans="1:1">
      <c r="A80" s="21" t="s">
        <v>1093</v>
      </c>
    </row>
    <row r="81" spans="1:1">
      <c r="A81" s="17" t="s">
        <v>1154</v>
      </c>
    </row>
    <row r="82" spans="1:1">
      <c r="A82" s="21" t="s">
        <v>1057</v>
      </c>
    </row>
    <row r="83" spans="1:1">
      <c r="A83" s="17" t="s">
        <v>1025</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8D0F-A0DB-0A4F-B414-5059C1D2324A}">
  <dimension ref="A1:B49"/>
  <sheetViews>
    <sheetView topLeftCell="A25" workbookViewId="0">
      <selection activeCell="S16" sqref="S16"/>
    </sheetView>
  </sheetViews>
  <sheetFormatPr baseColWidth="10" defaultRowHeight="15"/>
  <cols>
    <col min="1" max="2" width="16" bestFit="1" customWidth="1"/>
  </cols>
  <sheetData>
    <row r="1" spans="1:2">
      <c r="A1" s="16" t="s">
        <v>1114</v>
      </c>
      <c r="B1" t="s">
        <v>1026</v>
      </c>
    </row>
    <row r="3" spans="1:2">
      <c r="A3" s="16" t="s">
        <v>1024</v>
      </c>
      <c r="B3" t="s">
        <v>1113</v>
      </c>
    </row>
    <row r="4" spans="1:2">
      <c r="A4" s="17" t="s">
        <v>1065</v>
      </c>
      <c r="B4" s="23">
        <v>1586.57</v>
      </c>
    </row>
    <row r="5" spans="1:2">
      <c r="A5" s="17" t="s">
        <v>1090</v>
      </c>
      <c r="B5" s="23">
        <v>1062.93</v>
      </c>
    </row>
    <row r="6" spans="1:2">
      <c r="A6" s="17" t="s">
        <v>1087</v>
      </c>
      <c r="B6" s="23">
        <v>1848.44</v>
      </c>
    </row>
    <row r="7" spans="1:2">
      <c r="A7" s="17" t="s">
        <v>1067</v>
      </c>
      <c r="B7" s="23">
        <v>954.46</v>
      </c>
    </row>
    <row r="8" spans="1:2">
      <c r="A8" s="17" t="s">
        <v>1086</v>
      </c>
      <c r="B8" s="23">
        <v>907.61</v>
      </c>
    </row>
    <row r="9" spans="1:2">
      <c r="A9" s="17" t="s">
        <v>1056</v>
      </c>
      <c r="B9" s="23">
        <v>1042.98</v>
      </c>
    </row>
    <row r="10" spans="1:2">
      <c r="A10" s="17" t="s">
        <v>1054</v>
      </c>
      <c r="B10" s="23">
        <v>1054.47</v>
      </c>
    </row>
    <row r="11" spans="1:2">
      <c r="A11" s="17" t="s">
        <v>1072</v>
      </c>
      <c r="B11" s="23">
        <v>4046.9</v>
      </c>
    </row>
    <row r="12" spans="1:2">
      <c r="A12" s="17" t="s">
        <v>1057</v>
      </c>
      <c r="B12" s="23">
        <v>4720.8900000000003</v>
      </c>
    </row>
    <row r="13" spans="1:2">
      <c r="A13" s="17" t="s">
        <v>1092</v>
      </c>
      <c r="B13" s="23">
        <v>909.91</v>
      </c>
    </row>
    <row r="14" spans="1:2">
      <c r="A14" s="17" t="s">
        <v>1070</v>
      </c>
      <c r="B14" s="23">
        <v>1390.39</v>
      </c>
    </row>
    <row r="15" spans="1:2">
      <c r="A15" s="17" t="s">
        <v>1076</v>
      </c>
      <c r="B15" s="23">
        <v>2727.34</v>
      </c>
    </row>
    <row r="16" spans="1:2">
      <c r="A16" s="17" t="s">
        <v>1055</v>
      </c>
      <c r="B16" s="23">
        <v>911.52</v>
      </c>
    </row>
    <row r="17" spans="1:2">
      <c r="A17" s="17" t="s">
        <v>1066</v>
      </c>
      <c r="B17" s="23">
        <v>1309.1400000000001</v>
      </c>
    </row>
    <row r="18" spans="1:2">
      <c r="A18" s="17" t="s">
        <v>1050</v>
      </c>
      <c r="B18" s="23">
        <v>1554.48</v>
      </c>
    </row>
    <row r="19" spans="1:2">
      <c r="A19" s="17" t="s">
        <v>1068</v>
      </c>
      <c r="B19" s="23">
        <v>713.17</v>
      </c>
    </row>
    <row r="20" spans="1:2">
      <c r="A20" s="17" t="s">
        <v>1085</v>
      </c>
      <c r="B20" s="23">
        <v>1083.97</v>
      </c>
    </row>
    <row r="21" spans="1:2">
      <c r="A21" s="17" t="s">
        <v>1084</v>
      </c>
      <c r="B21" s="23">
        <v>1137.47</v>
      </c>
    </row>
    <row r="22" spans="1:2">
      <c r="A22" s="17" t="s">
        <v>1071</v>
      </c>
      <c r="B22" s="23">
        <v>1848.44</v>
      </c>
    </row>
    <row r="23" spans="1:2">
      <c r="A23" s="17" t="s">
        <v>1078</v>
      </c>
      <c r="B23" s="23">
        <v>2751.33</v>
      </c>
    </row>
    <row r="24" spans="1:2">
      <c r="A24" s="17" t="s">
        <v>1075</v>
      </c>
      <c r="B24" s="23">
        <v>1266.01</v>
      </c>
    </row>
    <row r="25" spans="1:2">
      <c r="A25" s="17" t="s">
        <v>1058</v>
      </c>
      <c r="B25" s="23">
        <v>642.91999999999996</v>
      </c>
    </row>
    <row r="26" spans="1:2">
      <c r="A26" s="17" t="s">
        <v>1051</v>
      </c>
      <c r="B26" s="23">
        <v>1426.7</v>
      </c>
    </row>
    <row r="27" spans="1:2">
      <c r="A27" s="17" t="s">
        <v>1053</v>
      </c>
      <c r="B27" s="23">
        <v>910.52</v>
      </c>
    </row>
    <row r="28" spans="1:2">
      <c r="A28" s="17" t="s">
        <v>1052</v>
      </c>
      <c r="B28" s="23">
        <v>1998.07</v>
      </c>
    </row>
    <row r="29" spans="1:2">
      <c r="A29" s="17" t="s">
        <v>1060</v>
      </c>
      <c r="B29" s="23">
        <v>4352.46</v>
      </c>
    </row>
    <row r="30" spans="1:2">
      <c r="A30" s="17" t="s">
        <v>1069</v>
      </c>
      <c r="B30" s="23">
        <v>2090.31</v>
      </c>
    </row>
    <row r="31" spans="1:2">
      <c r="A31" s="17" t="s">
        <v>1091</v>
      </c>
      <c r="B31" s="23">
        <v>2067.2399999999998</v>
      </c>
    </row>
    <row r="32" spans="1:2">
      <c r="A32" s="17" t="s">
        <v>1079</v>
      </c>
      <c r="B32" s="23">
        <v>926.66</v>
      </c>
    </row>
    <row r="33" spans="1:2">
      <c r="A33" s="17" t="s">
        <v>1080</v>
      </c>
      <c r="B33" s="23">
        <v>1538.68</v>
      </c>
    </row>
    <row r="34" spans="1:2">
      <c r="A34" s="17" t="s">
        <v>1077</v>
      </c>
      <c r="B34" s="23">
        <v>1359.03</v>
      </c>
    </row>
    <row r="35" spans="1:2">
      <c r="A35" s="17" t="s">
        <v>1074</v>
      </c>
      <c r="B35" s="23">
        <v>2155.85</v>
      </c>
    </row>
    <row r="36" spans="1:2">
      <c r="A36" s="17" t="s">
        <v>1089</v>
      </c>
      <c r="B36" s="23">
        <v>933.78</v>
      </c>
    </row>
    <row r="37" spans="1:2">
      <c r="A37" s="17" t="s">
        <v>1082</v>
      </c>
      <c r="B37" s="23">
        <v>1955.56</v>
      </c>
    </row>
    <row r="38" spans="1:2">
      <c r="A38" s="17" t="s">
        <v>1083</v>
      </c>
      <c r="B38" s="23">
        <v>2513.2199999999998</v>
      </c>
    </row>
    <row r="39" spans="1:2">
      <c r="A39" s="17" t="s">
        <v>1064</v>
      </c>
      <c r="B39" s="23">
        <v>1359.03</v>
      </c>
    </row>
    <row r="40" spans="1:2">
      <c r="A40" s="17" t="s">
        <v>1063</v>
      </c>
      <c r="B40" s="23">
        <v>1030.74</v>
      </c>
    </row>
    <row r="41" spans="1:2">
      <c r="A41" s="17" t="s">
        <v>1088</v>
      </c>
      <c r="B41" s="23">
        <v>595.29</v>
      </c>
    </row>
    <row r="42" spans="1:2">
      <c r="A42" s="17" t="s">
        <v>1059</v>
      </c>
      <c r="B42" s="23">
        <v>1030.74</v>
      </c>
    </row>
    <row r="43" spans="1:2">
      <c r="A43" s="17" t="s">
        <v>1049</v>
      </c>
      <c r="B43" s="23">
        <v>332.5</v>
      </c>
    </row>
    <row r="44" spans="1:2">
      <c r="A44" s="17" t="s">
        <v>1081</v>
      </c>
      <c r="B44" s="23">
        <v>2890</v>
      </c>
    </row>
    <row r="45" spans="1:2">
      <c r="A45" s="17" t="s">
        <v>1073</v>
      </c>
      <c r="B45" s="23">
        <v>1471.38</v>
      </c>
    </row>
    <row r="46" spans="1:2">
      <c r="A46" s="17" t="s">
        <v>1062</v>
      </c>
      <c r="B46" s="23">
        <v>961.25</v>
      </c>
    </row>
    <row r="47" spans="1:2">
      <c r="A47" s="17" t="s">
        <v>1061</v>
      </c>
      <c r="B47" s="23">
        <v>638.13</v>
      </c>
    </row>
    <row r="48" spans="1:2">
      <c r="A48" s="17" t="s">
        <v>1093</v>
      </c>
      <c r="B48" s="23">
        <v>602.07000000000005</v>
      </c>
    </row>
    <row r="49" spans="1:2">
      <c r="A49" s="17" t="s">
        <v>1025</v>
      </c>
      <c r="B49" s="23">
        <v>70610.549999999988</v>
      </c>
    </row>
  </sheetData>
  <phoneticPr fontId="2" type="noConversion"/>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72AAA-7550-B648-9F05-C4510D8ECFE1}">
  <dimension ref="A1:B49"/>
  <sheetViews>
    <sheetView workbookViewId="0">
      <selection activeCell="S7" sqref="S7"/>
    </sheetView>
  </sheetViews>
  <sheetFormatPr baseColWidth="10" defaultRowHeight="15"/>
  <cols>
    <col min="1" max="1" width="16" bestFit="1" customWidth="1"/>
    <col min="2" max="2" width="13.83203125" bestFit="1" customWidth="1"/>
  </cols>
  <sheetData>
    <row r="1" spans="1:2">
      <c r="A1" s="16" t="s">
        <v>1115</v>
      </c>
      <c r="B1" t="s">
        <v>1026</v>
      </c>
    </row>
    <row r="3" spans="1:2">
      <c r="A3" s="16" t="s">
        <v>1024</v>
      </c>
      <c r="B3" t="s">
        <v>1047</v>
      </c>
    </row>
    <row r="4" spans="1:2">
      <c r="A4" s="17" t="s">
        <v>1061</v>
      </c>
      <c r="B4" s="18">
        <v>13</v>
      </c>
    </row>
    <row r="5" spans="1:2">
      <c r="A5" s="17" t="s">
        <v>1062</v>
      </c>
      <c r="B5" s="18">
        <v>13</v>
      </c>
    </row>
    <row r="6" spans="1:2">
      <c r="A6" s="17" t="s">
        <v>1053</v>
      </c>
      <c r="B6" s="18">
        <v>14</v>
      </c>
    </row>
    <row r="7" spans="1:2">
      <c r="A7" s="17" t="s">
        <v>1088</v>
      </c>
      <c r="B7" s="18">
        <v>14</v>
      </c>
    </row>
    <row r="8" spans="1:2">
      <c r="A8" s="17" t="s">
        <v>1059</v>
      </c>
      <c r="B8" s="18">
        <v>14</v>
      </c>
    </row>
    <row r="9" spans="1:2">
      <c r="A9" s="17" t="s">
        <v>1093</v>
      </c>
      <c r="B9" s="18">
        <v>14</v>
      </c>
    </row>
    <row r="10" spans="1:2">
      <c r="A10" s="17" t="s">
        <v>1067</v>
      </c>
      <c r="B10" s="18">
        <v>14</v>
      </c>
    </row>
    <row r="11" spans="1:2">
      <c r="A11" s="17" t="s">
        <v>1075</v>
      </c>
      <c r="B11" s="18">
        <v>14</v>
      </c>
    </row>
    <row r="12" spans="1:2">
      <c r="A12" s="17" t="s">
        <v>1086</v>
      </c>
      <c r="B12" s="18">
        <v>14</v>
      </c>
    </row>
    <row r="13" spans="1:2">
      <c r="A13" s="17" t="s">
        <v>1051</v>
      </c>
      <c r="B13" s="18">
        <v>15</v>
      </c>
    </row>
    <row r="14" spans="1:2">
      <c r="A14" s="17" t="s">
        <v>1070</v>
      </c>
      <c r="B14" s="18">
        <v>15</v>
      </c>
    </row>
    <row r="15" spans="1:2">
      <c r="A15" s="17" t="s">
        <v>1092</v>
      </c>
      <c r="B15" s="18">
        <v>15</v>
      </c>
    </row>
    <row r="16" spans="1:2">
      <c r="A16" s="17" t="s">
        <v>1076</v>
      </c>
      <c r="B16" s="18">
        <v>15</v>
      </c>
    </row>
    <row r="17" spans="1:2">
      <c r="A17" s="17" t="s">
        <v>1066</v>
      </c>
      <c r="B17" s="18">
        <v>15</v>
      </c>
    </row>
    <row r="18" spans="1:2">
      <c r="A18" s="17" t="s">
        <v>1080</v>
      </c>
      <c r="B18" s="18">
        <v>15</v>
      </c>
    </row>
    <row r="19" spans="1:2">
      <c r="A19" s="17" t="s">
        <v>1071</v>
      </c>
      <c r="B19" s="18">
        <v>15</v>
      </c>
    </row>
    <row r="20" spans="1:2">
      <c r="A20" s="17" t="s">
        <v>1077</v>
      </c>
      <c r="B20" s="18">
        <v>15</v>
      </c>
    </row>
    <row r="21" spans="1:2">
      <c r="A21" s="17" t="s">
        <v>1090</v>
      </c>
      <c r="B21" s="18">
        <v>15</v>
      </c>
    </row>
    <row r="22" spans="1:2">
      <c r="A22" s="17" t="s">
        <v>1089</v>
      </c>
      <c r="B22" s="18">
        <v>15</v>
      </c>
    </row>
    <row r="23" spans="1:2">
      <c r="A23" s="17" t="s">
        <v>1065</v>
      </c>
      <c r="B23" s="18">
        <v>15</v>
      </c>
    </row>
    <row r="24" spans="1:2">
      <c r="A24" s="17" t="s">
        <v>1064</v>
      </c>
      <c r="B24" s="18">
        <v>15</v>
      </c>
    </row>
    <row r="25" spans="1:2">
      <c r="A25" s="17" t="s">
        <v>1057</v>
      </c>
      <c r="B25" s="18">
        <v>15</v>
      </c>
    </row>
    <row r="26" spans="1:2">
      <c r="A26" s="17" t="s">
        <v>1063</v>
      </c>
      <c r="B26" s="18">
        <v>15</v>
      </c>
    </row>
    <row r="27" spans="1:2">
      <c r="A27" s="17" t="s">
        <v>1058</v>
      </c>
      <c r="B27" s="18">
        <v>15</v>
      </c>
    </row>
    <row r="28" spans="1:2">
      <c r="A28" s="17" t="s">
        <v>1073</v>
      </c>
      <c r="B28" s="18">
        <v>15</v>
      </c>
    </row>
    <row r="29" spans="1:2">
      <c r="A29" s="17" t="s">
        <v>1056</v>
      </c>
      <c r="B29" s="18">
        <v>15</v>
      </c>
    </row>
    <row r="30" spans="1:2">
      <c r="A30" s="17" t="s">
        <v>1084</v>
      </c>
      <c r="B30" s="18">
        <v>15</v>
      </c>
    </row>
    <row r="31" spans="1:2">
      <c r="A31" s="17" t="s">
        <v>1054</v>
      </c>
      <c r="B31" s="18">
        <v>15</v>
      </c>
    </row>
    <row r="32" spans="1:2">
      <c r="A32" s="17" t="s">
        <v>1087</v>
      </c>
      <c r="B32" s="18">
        <v>15</v>
      </c>
    </row>
    <row r="33" spans="1:2">
      <c r="A33" s="17" t="s">
        <v>1049</v>
      </c>
      <c r="B33" s="18">
        <v>15</v>
      </c>
    </row>
    <row r="34" spans="1:2">
      <c r="A34" s="17" t="s">
        <v>1078</v>
      </c>
      <c r="B34" s="18">
        <v>18</v>
      </c>
    </row>
    <row r="35" spans="1:2">
      <c r="A35" s="17" t="s">
        <v>1079</v>
      </c>
      <c r="B35" s="18">
        <v>22</v>
      </c>
    </row>
    <row r="36" spans="1:2">
      <c r="A36" s="17" t="s">
        <v>1052</v>
      </c>
      <c r="B36" s="18">
        <v>22</v>
      </c>
    </row>
    <row r="37" spans="1:2">
      <c r="A37" s="17" t="s">
        <v>1082</v>
      </c>
      <c r="B37" s="18">
        <v>22</v>
      </c>
    </row>
    <row r="38" spans="1:2">
      <c r="A38" s="17" t="s">
        <v>1083</v>
      </c>
      <c r="B38" s="18">
        <v>22</v>
      </c>
    </row>
    <row r="39" spans="1:2">
      <c r="A39" s="17" t="s">
        <v>1060</v>
      </c>
      <c r="B39" s="18">
        <v>24</v>
      </c>
    </row>
    <row r="40" spans="1:2">
      <c r="A40" s="17" t="s">
        <v>1074</v>
      </c>
      <c r="B40" s="18">
        <v>24</v>
      </c>
    </row>
    <row r="41" spans="1:2">
      <c r="A41" s="17" t="s">
        <v>1055</v>
      </c>
      <c r="B41" s="18">
        <v>24</v>
      </c>
    </row>
    <row r="42" spans="1:2">
      <c r="A42" s="17" t="s">
        <v>1085</v>
      </c>
      <c r="B42" s="18">
        <v>24</v>
      </c>
    </row>
    <row r="43" spans="1:2">
      <c r="A43" s="17" t="s">
        <v>1072</v>
      </c>
      <c r="B43" s="18">
        <v>24</v>
      </c>
    </row>
    <row r="44" spans="1:2">
      <c r="A44" s="17" t="s">
        <v>1081</v>
      </c>
      <c r="B44" s="18">
        <v>28</v>
      </c>
    </row>
    <row r="45" spans="1:2">
      <c r="A45" s="17" t="s">
        <v>1069</v>
      </c>
      <c r="B45" s="18">
        <v>28</v>
      </c>
    </row>
    <row r="46" spans="1:2">
      <c r="A46" s="17" t="s">
        <v>1091</v>
      </c>
      <c r="B46" s="18">
        <v>29</v>
      </c>
    </row>
    <row r="47" spans="1:2">
      <c r="A47" s="17" t="s">
        <v>1068</v>
      </c>
      <c r="B47" s="18">
        <v>30</v>
      </c>
    </row>
    <row r="48" spans="1:2">
      <c r="A48" s="17" t="s">
        <v>1050</v>
      </c>
      <c r="B48" s="18">
        <v>31</v>
      </c>
    </row>
    <row r="49" spans="1:2">
      <c r="A49" s="17" t="s">
        <v>1025</v>
      </c>
      <c r="B49" s="18">
        <v>811</v>
      </c>
    </row>
  </sheetData>
  <phoneticPr fontId="2" type="noConversion"/>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0BF1B-8168-4245-A20E-6DA88D8E84C9}">
  <dimension ref="A1:F49"/>
  <sheetViews>
    <sheetView workbookViewId="0">
      <selection activeCell="Q47" sqref="Q47"/>
    </sheetView>
  </sheetViews>
  <sheetFormatPr baseColWidth="10" defaultRowHeight="15"/>
  <cols>
    <col min="1" max="1" width="16" bestFit="1" customWidth="1"/>
    <col min="2" max="2" width="20.5" bestFit="1" customWidth="1"/>
    <col min="5" max="5" width="21.5" customWidth="1"/>
  </cols>
  <sheetData>
    <row r="1" spans="1:6">
      <c r="A1" s="16" t="s">
        <v>1119</v>
      </c>
      <c r="B1" t="s">
        <v>1026</v>
      </c>
    </row>
    <row r="3" spans="1:6">
      <c r="A3" s="16" t="s">
        <v>1024</v>
      </c>
      <c r="B3" t="s">
        <v>1118</v>
      </c>
      <c r="E3" t="s">
        <v>1120</v>
      </c>
      <c r="F3" t="s">
        <v>1121</v>
      </c>
    </row>
    <row r="4" spans="1:6">
      <c r="A4" s="17" t="s">
        <v>1049</v>
      </c>
      <c r="B4" s="24">
        <v>0.36</v>
      </c>
      <c r="E4" s="17" t="s">
        <v>1049</v>
      </c>
      <c r="F4" s="24">
        <v>0.36</v>
      </c>
    </row>
    <row r="5" spans="1:6">
      <c r="A5" s="17" t="s">
        <v>1085</v>
      </c>
      <c r="B5" s="24">
        <v>0.73</v>
      </c>
      <c r="E5" s="17" t="s">
        <v>1085</v>
      </c>
      <c r="F5" s="24">
        <v>0.73</v>
      </c>
    </row>
    <row r="6" spans="1:6">
      <c r="A6" s="17" t="s">
        <v>1061</v>
      </c>
      <c r="B6" s="24">
        <v>0.75</v>
      </c>
      <c r="E6" s="17" t="s">
        <v>1061</v>
      </c>
      <c r="F6" s="24">
        <v>0.75</v>
      </c>
    </row>
    <row r="7" spans="1:6">
      <c r="A7" s="17" t="s">
        <v>1075</v>
      </c>
      <c r="B7" s="24">
        <v>0.86</v>
      </c>
      <c r="E7" s="17" t="s">
        <v>1075</v>
      </c>
      <c r="F7" s="24">
        <v>0.86</v>
      </c>
    </row>
    <row r="8" spans="1:6">
      <c r="A8" s="17" t="s">
        <v>1062</v>
      </c>
      <c r="B8" s="24">
        <v>0.86</v>
      </c>
      <c r="E8" s="17" t="s">
        <v>1062</v>
      </c>
      <c r="F8" s="24">
        <v>0.86</v>
      </c>
    </row>
    <row r="9" spans="1:6">
      <c r="A9" s="17" t="s">
        <v>1084</v>
      </c>
      <c r="B9" s="24">
        <v>0.87</v>
      </c>
      <c r="E9" s="17" t="s">
        <v>1084</v>
      </c>
      <c r="F9" s="24">
        <v>0.87</v>
      </c>
    </row>
    <row r="10" spans="1:6">
      <c r="A10" s="17" t="s">
        <v>1086</v>
      </c>
      <c r="B10" s="24">
        <v>0.87</v>
      </c>
      <c r="E10" s="17" t="s">
        <v>1086</v>
      </c>
      <c r="F10" s="24">
        <v>0.87</v>
      </c>
    </row>
    <row r="11" spans="1:6">
      <c r="A11" s="17" t="s">
        <v>1060</v>
      </c>
      <c r="B11" s="24">
        <v>0.88</v>
      </c>
      <c r="E11" s="17" t="s">
        <v>1060</v>
      </c>
      <c r="F11" s="24">
        <v>0.88</v>
      </c>
    </row>
    <row r="12" spans="1:6">
      <c r="A12" s="17" t="s">
        <v>1081</v>
      </c>
      <c r="B12" s="24">
        <v>0.89</v>
      </c>
      <c r="E12" s="17" t="s">
        <v>1081</v>
      </c>
      <c r="F12" s="24">
        <v>0.89</v>
      </c>
    </row>
    <row r="13" spans="1:6">
      <c r="A13" s="17" t="s">
        <v>1078</v>
      </c>
      <c r="B13" s="24">
        <v>0.9</v>
      </c>
      <c r="E13" s="17" t="s">
        <v>1078</v>
      </c>
      <c r="F13" s="24">
        <v>0.9</v>
      </c>
    </row>
    <row r="14" spans="1:6">
      <c r="A14" s="17" t="s">
        <v>1077</v>
      </c>
      <c r="B14" s="24">
        <v>0.9</v>
      </c>
      <c r="E14" s="17" t="s">
        <v>1077</v>
      </c>
      <c r="F14" s="24">
        <v>0.9</v>
      </c>
    </row>
    <row r="15" spans="1:6">
      <c r="A15" s="17" t="s">
        <v>1059</v>
      </c>
      <c r="B15" s="24">
        <v>0.91</v>
      </c>
      <c r="E15" s="17" t="s">
        <v>1059</v>
      </c>
      <c r="F15" s="24">
        <v>0.91</v>
      </c>
    </row>
    <row r="16" spans="1:6">
      <c r="A16" s="17" t="s">
        <v>1068</v>
      </c>
      <c r="B16" s="24">
        <v>0.91</v>
      </c>
      <c r="E16" s="17" t="s">
        <v>1068</v>
      </c>
      <c r="F16" s="24">
        <v>0.91</v>
      </c>
    </row>
    <row r="17" spans="1:6">
      <c r="A17" s="17" t="s">
        <v>1091</v>
      </c>
      <c r="B17" s="24">
        <v>0.97</v>
      </c>
      <c r="E17" s="17" t="s">
        <v>1091</v>
      </c>
      <c r="F17" s="24">
        <v>0.97</v>
      </c>
    </row>
    <row r="18" spans="1:6">
      <c r="A18" s="17" t="s">
        <v>1067</v>
      </c>
      <c r="B18" s="24">
        <v>0.98</v>
      </c>
      <c r="E18" s="17" t="s">
        <v>1067</v>
      </c>
      <c r="F18" s="24">
        <v>0.98</v>
      </c>
    </row>
    <row r="19" spans="1:6">
      <c r="A19" s="17" t="s">
        <v>1056</v>
      </c>
      <c r="B19" s="24">
        <v>0.99</v>
      </c>
      <c r="E19" s="17" t="s">
        <v>1056</v>
      </c>
      <c r="F19" s="24">
        <v>0.99</v>
      </c>
    </row>
    <row r="20" spans="1:6">
      <c r="A20" s="17" t="s">
        <v>1051</v>
      </c>
      <c r="B20" s="24">
        <v>1</v>
      </c>
      <c r="E20" s="17" t="s">
        <v>1051</v>
      </c>
      <c r="F20" s="24">
        <v>1</v>
      </c>
    </row>
    <row r="21" spans="1:6">
      <c r="A21" s="17" t="s">
        <v>1080</v>
      </c>
      <c r="B21" s="24">
        <v>1</v>
      </c>
      <c r="E21" s="17" t="s">
        <v>1080</v>
      </c>
      <c r="F21" s="24">
        <v>1</v>
      </c>
    </row>
    <row r="22" spans="1:6">
      <c r="A22" s="17" t="s">
        <v>1054</v>
      </c>
      <c r="B22" s="24">
        <v>1</v>
      </c>
      <c r="E22" s="17" t="s">
        <v>1054</v>
      </c>
      <c r="F22" s="24">
        <v>1</v>
      </c>
    </row>
    <row r="23" spans="1:6">
      <c r="A23" s="17" t="s">
        <v>1071</v>
      </c>
      <c r="B23" s="24">
        <v>1</v>
      </c>
      <c r="E23" s="17" t="s">
        <v>1071</v>
      </c>
      <c r="F23" s="24">
        <v>1</v>
      </c>
    </row>
    <row r="24" spans="1:6">
      <c r="A24" s="17" t="s">
        <v>1052</v>
      </c>
      <c r="B24" s="24">
        <v>1</v>
      </c>
      <c r="E24" s="17" t="s">
        <v>1052</v>
      </c>
      <c r="F24" s="24">
        <v>1</v>
      </c>
    </row>
    <row r="25" spans="1:6">
      <c r="A25" s="17" t="s">
        <v>1070</v>
      </c>
      <c r="B25" s="24">
        <v>1</v>
      </c>
      <c r="E25" s="17" t="s">
        <v>1070</v>
      </c>
      <c r="F25" s="24">
        <v>1</v>
      </c>
    </row>
    <row r="26" spans="1:6">
      <c r="A26" s="17" t="s">
        <v>1053</v>
      </c>
      <c r="B26" s="24">
        <v>1</v>
      </c>
      <c r="E26" s="17" t="s">
        <v>1053</v>
      </c>
      <c r="F26" s="24">
        <v>1</v>
      </c>
    </row>
    <row r="27" spans="1:6">
      <c r="A27" s="17" t="s">
        <v>1093</v>
      </c>
      <c r="B27" s="24">
        <v>1</v>
      </c>
      <c r="E27" s="17" t="s">
        <v>1093</v>
      </c>
      <c r="F27" s="24">
        <v>1</v>
      </c>
    </row>
    <row r="28" spans="1:6">
      <c r="A28" s="17" t="s">
        <v>1087</v>
      </c>
      <c r="B28" s="24">
        <v>1</v>
      </c>
      <c r="E28" s="17" t="s">
        <v>1087</v>
      </c>
      <c r="F28" s="24">
        <v>1</v>
      </c>
    </row>
    <row r="29" spans="1:6">
      <c r="A29" s="17" t="s">
        <v>1083</v>
      </c>
      <c r="B29" s="24">
        <v>1</v>
      </c>
      <c r="E29" s="17" t="s">
        <v>1083</v>
      </c>
      <c r="F29" s="24">
        <v>1</v>
      </c>
    </row>
    <row r="30" spans="1:6">
      <c r="A30" s="17" t="s">
        <v>1074</v>
      </c>
      <c r="B30" s="24">
        <v>1.01</v>
      </c>
      <c r="E30" s="17" t="s">
        <v>1074</v>
      </c>
      <c r="F30" s="24">
        <v>1.01</v>
      </c>
    </row>
    <row r="31" spans="1:6">
      <c r="A31" s="17" t="s">
        <v>1088</v>
      </c>
      <c r="B31" s="24">
        <v>1.01</v>
      </c>
      <c r="E31" s="17" t="s">
        <v>1088</v>
      </c>
      <c r="F31" s="24">
        <v>1.01</v>
      </c>
    </row>
    <row r="32" spans="1:6">
      <c r="A32" s="17" t="s">
        <v>1066</v>
      </c>
      <c r="B32" s="24">
        <v>1.01</v>
      </c>
      <c r="E32" s="17" t="s">
        <v>1066</v>
      </c>
      <c r="F32" s="24">
        <v>1.01</v>
      </c>
    </row>
    <row r="33" spans="1:6">
      <c r="A33" s="17" t="s">
        <v>1079</v>
      </c>
      <c r="B33" s="24">
        <v>1.01</v>
      </c>
      <c r="E33" s="17" t="s">
        <v>1079</v>
      </c>
      <c r="F33" s="24">
        <v>1.01</v>
      </c>
    </row>
    <row r="34" spans="1:6">
      <c r="A34" s="17" t="s">
        <v>1092</v>
      </c>
      <c r="B34" s="24">
        <v>1.01</v>
      </c>
      <c r="E34" s="17" t="s">
        <v>1092</v>
      </c>
      <c r="F34" s="24">
        <v>1.01</v>
      </c>
    </row>
    <row r="35" spans="1:6">
      <c r="A35" s="17" t="s">
        <v>1050</v>
      </c>
      <c r="B35" s="24">
        <v>1.01</v>
      </c>
      <c r="E35" s="17" t="s">
        <v>1050</v>
      </c>
      <c r="F35" s="24">
        <v>1.01</v>
      </c>
    </row>
    <row r="36" spans="1:6">
      <c r="A36" s="17" t="s">
        <v>1058</v>
      </c>
      <c r="B36" s="24">
        <v>1.02</v>
      </c>
      <c r="E36" s="17" t="s">
        <v>1058</v>
      </c>
      <c r="F36" s="24">
        <v>1.02</v>
      </c>
    </row>
    <row r="37" spans="1:6">
      <c r="A37" s="17" t="s">
        <v>1064</v>
      </c>
      <c r="B37" s="24">
        <v>1.02</v>
      </c>
      <c r="E37" s="17" t="s">
        <v>1064</v>
      </c>
      <c r="F37" s="24">
        <v>1.02</v>
      </c>
    </row>
    <row r="38" spans="1:6">
      <c r="A38" s="17" t="s">
        <v>1057</v>
      </c>
      <c r="B38" s="24">
        <v>1.02</v>
      </c>
      <c r="E38" s="17" t="s">
        <v>1057</v>
      </c>
      <c r="F38" s="24">
        <v>1.02</v>
      </c>
    </row>
    <row r="39" spans="1:6">
      <c r="A39" s="17" t="s">
        <v>1073</v>
      </c>
      <c r="B39" s="24">
        <v>1.03</v>
      </c>
      <c r="E39" s="17" t="s">
        <v>1073</v>
      </c>
      <c r="F39" s="24">
        <v>1.03</v>
      </c>
    </row>
    <row r="40" spans="1:6">
      <c r="A40" s="17" t="s">
        <v>1090</v>
      </c>
      <c r="B40" s="24">
        <v>1.03</v>
      </c>
      <c r="E40" s="17" t="s">
        <v>1090</v>
      </c>
      <c r="F40" s="24">
        <v>1.03</v>
      </c>
    </row>
    <row r="41" spans="1:6">
      <c r="A41" s="17" t="s">
        <v>1076</v>
      </c>
      <c r="B41" s="24">
        <v>1.04</v>
      </c>
      <c r="E41" s="17" t="s">
        <v>1076</v>
      </c>
      <c r="F41" s="24">
        <v>1.04</v>
      </c>
    </row>
    <row r="42" spans="1:6">
      <c r="A42" s="17" t="s">
        <v>1055</v>
      </c>
      <c r="B42" s="24">
        <v>1.05</v>
      </c>
      <c r="E42" s="17" t="s">
        <v>1055</v>
      </c>
      <c r="F42" s="24">
        <v>1.05</v>
      </c>
    </row>
    <row r="43" spans="1:6">
      <c r="A43" s="17" t="s">
        <v>1069</v>
      </c>
      <c r="B43" s="24">
        <v>1.06</v>
      </c>
      <c r="E43" s="17" t="s">
        <v>1069</v>
      </c>
      <c r="F43" s="24">
        <v>1.06</v>
      </c>
    </row>
    <row r="44" spans="1:6">
      <c r="A44" s="17" t="s">
        <v>1063</v>
      </c>
      <c r="B44" s="24">
        <v>1.07</v>
      </c>
      <c r="E44" s="17" t="s">
        <v>1063</v>
      </c>
      <c r="F44" s="24">
        <v>1.07</v>
      </c>
    </row>
    <row r="45" spans="1:6">
      <c r="A45" s="17" t="s">
        <v>1065</v>
      </c>
      <c r="B45" s="24">
        <v>1.0900000000000001</v>
      </c>
      <c r="E45" s="17" t="s">
        <v>1065</v>
      </c>
      <c r="F45" s="24">
        <v>1.0900000000000001</v>
      </c>
    </row>
    <row r="46" spans="1:6">
      <c r="A46" s="17" t="s">
        <v>1072</v>
      </c>
      <c r="B46" s="24">
        <v>1.1200000000000001</v>
      </c>
      <c r="E46" s="17" t="s">
        <v>1072</v>
      </c>
      <c r="F46" s="24">
        <v>1.1200000000000001</v>
      </c>
    </row>
    <row r="47" spans="1:6">
      <c r="A47" s="17" t="s">
        <v>1082</v>
      </c>
      <c r="B47" s="24">
        <v>1.1399999999999999</v>
      </c>
      <c r="E47" s="17" t="s">
        <v>1082</v>
      </c>
      <c r="F47" s="24">
        <v>1.1399999999999999</v>
      </c>
    </row>
    <row r="48" spans="1:6">
      <c r="A48" s="17" t="s">
        <v>1089</v>
      </c>
      <c r="B48" s="24">
        <v>1.17</v>
      </c>
      <c r="E48" s="17" t="s">
        <v>1089</v>
      </c>
      <c r="F48" s="24">
        <v>1.17</v>
      </c>
    </row>
    <row r="49" spans="1:2">
      <c r="A49" s="17" t="s">
        <v>1025</v>
      </c>
      <c r="B49" s="24">
        <v>0.96777777777777774</v>
      </c>
    </row>
  </sheetData>
  <phoneticPr fontId="2" type="noConversion"/>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C1C23-51D1-4242-A99F-8F9E75B5CD03}">
  <dimension ref="A3:B9"/>
  <sheetViews>
    <sheetView topLeftCell="A2" workbookViewId="0">
      <selection activeCell="P38" sqref="P38"/>
    </sheetView>
  </sheetViews>
  <sheetFormatPr baseColWidth="10" defaultRowHeight="15"/>
  <cols>
    <col min="1" max="1" width="14.1640625" bestFit="1" customWidth="1"/>
    <col min="2" max="2" width="11.6640625" bestFit="1" customWidth="1"/>
  </cols>
  <sheetData>
    <row r="3" spans="1:2">
      <c r="A3" s="16" t="s">
        <v>1024</v>
      </c>
      <c r="B3" t="s">
        <v>1046</v>
      </c>
    </row>
    <row r="4" spans="1:2">
      <c r="A4" s="17" t="s">
        <v>264</v>
      </c>
      <c r="B4" s="18">
        <v>10</v>
      </c>
    </row>
    <row r="5" spans="1:2">
      <c r="A5" s="17" t="s">
        <v>180</v>
      </c>
      <c r="B5" s="18">
        <v>2</v>
      </c>
    </row>
    <row r="6" spans="1:2">
      <c r="A6" s="17" t="s">
        <v>420</v>
      </c>
      <c r="B6" s="18">
        <v>13</v>
      </c>
    </row>
    <row r="7" spans="1:2">
      <c r="A7" s="17" t="s">
        <v>363</v>
      </c>
      <c r="B7" s="18">
        <v>15</v>
      </c>
    </row>
    <row r="8" spans="1:2">
      <c r="A8" s="17" t="s">
        <v>69</v>
      </c>
      <c r="B8" s="18">
        <v>9</v>
      </c>
    </row>
    <row r="9" spans="1:2">
      <c r="A9" s="17" t="s">
        <v>1025</v>
      </c>
      <c r="B9" s="18">
        <v>49</v>
      </c>
    </row>
  </sheetData>
  <phoneticPr fontId="2" type="noConversion"/>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AC77B-602F-8241-AD8D-835392033AC2}">
  <dimension ref="A3:C9"/>
  <sheetViews>
    <sheetView topLeftCell="A3" workbookViewId="0">
      <selection activeCell="L45" sqref="L45"/>
    </sheetView>
  </sheetViews>
  <sheetFormatPr baseColWidth="10" defaultRowHeight="15"/>
  <cols>
    <col min="1" max="1" width="33.5" bestFit="1" customWidth="1"/>
    <col min="2" max="4" width="16" bestFit="1" customWidth="1"/>
  </cols>
  <sheetData>
    <row r="3" spans="1:3">
      <c r="A3" s="16" t="s">
        <v>1024</v>
      </c>
      <c r="B3" t="s">
        <v>1041</v>
      </c>
      <c r="C3" t="s">
        <v>1042</v>
      </c>
    </row>
    <row r="4" spans="1:3">
      <c r="A4" s="17" t="s">
        <v>1123</v>
      </c>
      <c r="B4" s="25">
        <v>1546</v>
      </c>
      <c r="C4" s="18">
        <v>81</v>
      </c>
    </row>
    <row r="5" spans="1:3">
      <c r="A5" s="17" t="s">
        <v>1125</v>
      </c>
      <c r="B5" s="25">
        <v>3242</v>
      </c>
      <c r="C5" s="18">
        <v>41</v>
      </c>
    </row>
    <row r="6" spans="1:3">
      <c r="A6" s="17" t="s">
        <v>1127</v>
      </c>
      <c r="B6" s="25">
        <v>3815</v>
      </c>
      <c r="C6" s="18">
        <v>72</v>
      </c>
    </row>
    <row r="7" spans="1:3">
      <c r="A7" s="17" t="s">
        <v>1129</v>
      </c>
      <c r="B7" s="25">
        <v>5929</v>
      </c>
      <c r="C7" s="18">
        <v>168</v>
      </c>
    </row>
    <row r="8" spans="1:3">
      <c r="A8" s="17" t="s">
        <v>1131</v>
      </c>
      <c r="B8" s="25">
        <v>5913</v>
      </c>
      <c r="C8" s="18">
        <v>31</v>
      </c>
    </row>
    <row r="9" spans="1:3">
      <c r="A9" s="17" t="s">
        <v>1025</v>
      </c>
      <c r="B9" s="25">
        <v>20445</v>
      </c>
      <c r="C9" s="18">
        <v>393</v>
      </c>
    </row>
  </sheetData>
  <phoneticPr fontId="2" type="noConversion"/>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B701F-331B-B44C-ABA2-C79B049588B4}">
  <dimension ref="A1:B43"/>
  <sheetViews>
    <sheetView topLeftCell="A8" workbookViewId="0">
      <selection activeCell="N39" sqref="N39"/>
    </sheetView>
  </sheetViews>
  <sheetFormatPr baseColWidth="10" defaultRowHeight="15"/>
  <cols>
    <col min="1" max="1" width="14.1640625" bestFit="1" customWidth="1"/>
    <col min="2" max="2" width="21.1640625" bestFit="1" customWidth="1"/>
  </cols>
  <sheetData>
    <row r="1" spans="1:2">
      <c r="A1" s="16" t="s">
        <v>1134</v>
      </c>
      <c r="B1" t="s">
        <v>1026</v>
      </c>
    </row>
    <row r="3" spans="1:2">
      <c r="A3" s="16" t="s">
        <v>1024</v>
      </c>
      <c r="B3" t="s">
        <v>1133</v>
      </c>
    </row>
    <row r="4" spans="1:2">
      <c r="A4" s="17" t="s">
        <v>264</v>
      </c>
      <c r="B4" s="26">
        <v>31.4</v>
      </c>
    </row>
    <row r="5" spans="1:2">
      <c r="A5" s="17" t="s">
        <v>180</v>
      </c>
      <c r="B5" s="26">
        <v>30.5</v>
      </c>
    </row>
    <row r="6" spans="1:2">
      <c r="A6" s="17" t="s">
        <v>420</v>
      </c>
      <c r="B6" s="26">
        <v>31.322222222222219</v>
      </c>
    </row>
    <row r="7" spans="1:2">
      <c r="A7" s="17" t="s">
        <v>363</v>
      </c>
      <c r="B7" s="26">
        <v>29.433333333333334</v>
      </c>
    </row>
    <row r="8" spans="1:2">
      <c r="A8" s="17" t="s">
        <v>69</v>
      </c>
      <c r="B8" s="26">
        <v>26.833333333333332</v>
      </c>
    </row>
    <row r="9" spans="1:2">
      <c r="A9" s="17" t="s">
        <v>1025</v>
      </c>
      <c r="B9" s="26">
        <v>29.775555555555556</v>
      </c>
    </row>
    <row r="35" spans="1:2">
      <c r="A35" s="16" t="s">
        <v>1134</v>
      </c>
      <c r="B35" t="s">
        <v>1026</v>
      </c>
    </row>
    <row r="37" spans="1:2">
      <c r="A37" s="16" t="s">
        <v>1024</v>
      </c>
      <c r="B37" t="s">
        <v>1133</v>
      </c>
    </row>
    <row r="38" spans="1:2">
      <c r="A38" s="17" t="s">
        <v>1123</v>
      </c>
      <c r="B38" s="26">
        <v>26.214285714285715</v>
      </c>
    </row>
    <row r="39" spans="1:2">
      <c r="A39" s="17" t="s">
        <v>1125</v>
      </c>
      <c r="B39" s="26">
        <v>29</v>
      </c>
    </row>
    <row r="40" spans="1:2">
      <c r="A40" s="17" t="s">
        <v>1127</v>
      </c>
      <c r="B40" s="26">
        <v>28.636363636363637</v>
      </c>
    </row>
    <row r="41" spans="1:2">
      <c r="A41" s="17" t="s">
        <v>1129</v>
      </c>
      <c r="B41" s="26">
        <v>31.526666666666664</v>
      </c>
    </row>
    <row r="42" spans="1:2">
      <c r="A42" s="17" t="s">
        <v>1131</v>
      </c>
      <c r="B42" s="26">
        <v>33.1</v>
      </c>
    </row>
    <row r="43" spans="1:2">
      <c r="A43" s="17" t="s">
        <v>1025</v>
      </c>
      <c r="B43" s="26">
        <v>29.775555555555556</v>
      </c>
    </row>
  </sheetData>
  <phoneticPr fontId="2" type="noConversion"/>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87DB0-B0B6-FD46-9E09-1ED558BD48CD}">
  <dimension ref="A3:D8"/>
  <sheetViews>
    <sheetView workbookViewId="0">
      <selection activeCell="A3" sqref="A3"/>
    </sheetView>
  </sheetViews>
  <sheetFormatPr baseColWidth="10" defaultRowHeight="15"/>
  <cols>
    <col min="1" max="1" width="10.1640625" bestFit="1" customWidth="1"/>
    <col min="2" max="3" width="16" bestFit="1" customWidth="1"/>
    <col min="4" max="4" width="9.5" bestFit="1" customWidth="1"/>
  </cols>
  <sheetData>
    <row r="3" spans="1:4">
      <c r="A3" s="16" t="s">
        <v>1145</v>
      </c>
      <c r="B3" t="s">
        <v>1041</v>
      </c>
      <c r="C3" t="s">
        <v>1042</v>
      </c>
      <c r="D3" t="s">
        <v>1144</v>
      </c>
    </row>
    <row r="4" spans="1:4">
      <c r="A4" s="17" t="s">
        <v>1140</v>
      </c>
      <c r="B4" s="25">
        <v>1159</v>
      </c>
      <c r="C4" s="25">
        <v>12</v>
      </c>
      <c r="D4" s="18">
        <v>4</v>
      </c>
    </row>
    <row r="5" spans="1:4">
      <c r="A5" s="17" t="s">
        <v>1141</v>
      </c>
      <c r="B5" s="25">
        <v>5913</v>
      </c>
      <c r="C5" s="25">
        <v>31</v>
      </c>
      <c r="D5" s="18">
        <v>9</v>
      </c>
    </row>
    <row r="6" spans="1:4">
      <c r="A6" s="17" t="s">
        <v>1142</v>
      </c>
      <c r="B6" s="25">
        <v>1350</v>
      </c>
      <c r="C6" s="25">
        <v>70</v>
      </c>
      <c r="D6" s="18">
        <v>6</v>
      </c>
    </row>
    <row r="7" spans="1:4">
      <c r="A7" s="17" t="s">
        <v>1143</v>
      </c>
      <c r="B7" s="25">
        <v>12023</v>
      </c>
      <c r="C7" s="25">
        <v>280</v>
      </c>
      <c r="D7" s="18">
        <v>30</v>
      </c>
    </row>
    <row r="8" spans="1:4">
      <c r="A8" s="17" t="s">
        <v>1025</v>
      </c>
      <c r="B8" s="25">
        <v>20445</v>
      </c>
      <c r="C8" s="25">
        <v>393</v>
      </c>
      <c r="D8" s="18">
        <v>49</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4B7A9-90AD-6946-BC2E-E7215B1E7E4A}">
  <dimension ref="A1:B9"/>
  <sheetViews>
    <sheetView topLeftCell="A2" workbookViewId="0">
      <selection activeCell="S20" sqref="S20"/>
    </sheetView>
  </sheetViews>
  <sheetFormatPr baseColWidth="10" defaultRowHeight="15"/>
  <cols>
    <col min="1" max="1" width="14.1640625" bestFit="1" customWidth="1"/>
    <col min="2" max="2" width="20.5" bestFit="1" customWidth="1"/>
    <col min="3" max="3" width="18.1640625" bestFit="1" customWidth="1"/>
  </cols>
  <sheetData>
    <row r="1" spans="1:2">
      <c r="A1" s="16" t="s">
        <v>1</v>
      </c>
      <c r="B1" t="s">
        <v>1026</v>
      </c>
    </row>
    <row r="3" spans="1:2">
      <c r="A3" s="16" t="s">
        <v>1024</v>
      </c>
      <c r="B3" t="s">
        <v>1118</v>
      </c>
    </row>
    <row r="4" spans="1:2">
      <c r="A4" s="17" t="s">
        <v>264</v>
      </c>
      <c r="B4" s="24">
        <v>0.94555555555555548</v>
      </c>
    </row>
    <row r="5" spans="1:2">
      <c r="A5" s="17" t="s">
        <v>180</v>
      </c>
      <c r="B5" s="24">
        <v>1.07</v>
      </c>
    </row>
    <row r="6" spans="1:2">
      <c r="A6" s="17" t="s">
        <v>420</v>
      </c>
      <c r="B6" s="24">
        <v>0.98</v>
      </c>
    </row>
    <row r="7" spans="1:2">
      <c r="A7" s="17" t="s">
        <v>363</v>
      </c>
      <c r="B7" s="24">
        <v>0.98066666666666669</v>
      </c>
    </row>
    <row r="8" spans="1:2">
      <c r="A8" s="17" t="s">
        <v>69</v>
      </c>
      <c r="B8" s="24">
        <v>1.0011111111111111</v>
      </c>
    </row>
    <row r="9" spans="1:2">
      <c r="A9" s="17" t="s">
        <v>1025</v>
      </c>
      <c r="B9" s="24">
        <v>0.98159090909090907</v>
      </c>
    </row>
  </sheetData>
  <phoneticPr fontId="2" type="noConversion"/>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9EF37-C3F3-8243-B091-96A26EC57E26}">
  <dimension ref="A1:BE113"/>
  <sheetViews>
    <sheetView zoomScale="96" zoomScaleNormal="96" workbookViewId="0">
      <pane xSplit="4" ySplit="1" topLeftCell="AB2" activePane="bottomRight" state="frozen"/>
      <selection pane="topRight" activeCell="E1" sqref="E1"/>
      <selection pane="bottomLeft" activeCell="A2" sqref="A2"/>
      <selection pane="bottomRight" activeCell="AD1" sqref="AD1"/>
    </sheetView>
  </sheetViews>
  <sheetFormatPr baseColWidth="10" defaultColWidth="8.83203125" defaultRowHeight="15"/>
  <cols>
    <col min="1" max="1" width="8.83203125" style="1"/>
    <col min="2" max="2" width="24.1640625" style="1" customWidth="1"/>
    <col min="3" max="4" width="14.1640625" style="2" customWidth="1"/>
    <col min="5" max="5" width="28.6640625" style="2" customWidth="1"/>
    <col min="6" max="6" width="24.5" style="2" customWidth="1"/>
    <col min="7" max="7" width="15.83203125" style="2" customWidth="1"/>
    <col min="8" max="8" width="8.5" style="14" customWidth="1"/>
    <col min="9" max="10" width="9.5" style="14" customWidth="1"/>
    <col min="11" max="13" width="15.83203125" style="2" customWidth="1"/>
    <col min="14" max="14" width="12.83203125" style="2" customWidth="1"/>
    <col min="15" max="15" width="8.5" style="13" customWidth="1"/>
    <col min="16" max="16" width="8.83203125" style="13" customWidth="1"/>
    <col min="17" max="18" width="8.83203125" style="2"/>
    <col min="19" max="19" width="19.83203125" style="2" customWidth="1"/>
    <col min="20" max="20" width="9" style="2" customWidth="1"/>
    <col min="21" max="21" width="8.83203125" style="2"/>
    <col min="22" max="22" width="39" style="2" customWidth="1"/>
    <col min="23" max="27" width="8.83203125" style="2"/>
    <col min="28" max="28" width="22.6640625" style="2" customWidth="1"/>
    <col min="29" max="31" width="10.5" style="2" customWidth="1"/>
    <col min="32" max="34" width="8.83203125" style="2"/>
    <col min="35" max="35" width="8.83203125" style="7"/>
    <col min="36" max="36" width="39.83203125" style="2" customWidth="1"/>
    <col min="37" max="37" width="11" style="2" customWidth="1"/>
    <col min="38" max="38" width="9.5" style="2" customWidth="1"/>
    <col min="39" max="39" width="8.83203125" style="2"/>
    <col min="40" max="40" width="8.83203125" style="7"/>
    <col min="41" max="41" width="25" style="2" customWidth="1"/>
    <col min="42" max="42" width="9.5" style="2" customWidth="1"/>
    <col min="43" max="43" width="23" style="2" customWidth="1"/>
    <col min="44" max="44" width="8.83203125" style="2"/>
    <col min="45" max="45" width="8.83203125" style="1"/>
    <col min="46" max="46" width="8.83203125" style="15"/>
    <col min="47" max="47" width="8.83203125" style="2"/>
    <col min="48" max="48" width="11.33203125" style="2" customWidth="1"/>
    <col min="49" max="49" width="18.6640625" style="15" customWidth="1"/>
    <col min="50" max="16384" width="8.83203125" style="2"/>
  </cols>
  <sheetData>
    <row r="1" spans="1:57">
      <c r="A1" s="1" t="s">
        <v>0</v>
      </c>
      <c r="B1" s="1" t="s">
        <v>1122</v>
      </c>
      <c r="C1" s="2" t="s">
        <v>1</v>
      </c>
      <c r="D1" s="2" t="s">
        <v>1048</v>
      </c>
      <c r="E1" s="2" t="s">
        <v>2</v>
      </c>
      <c r="F1" s="2" t="s">
        <v>3</v>
      </c>
      <c r="G1" s="2" t="s">
        <v>4</v>
      </c>
      <c r="H1" s="14" t="s">
        <v>1028</v>
      </c>
      <c r="I1" s="14" t="s">
        <v>1029</v>
      </c>
      <c r="J1" s="14" t="s">
        <v>1030</v>
      </c>
      <c r="K1" s="2" t="s">
        <v>936</v>
      </c>
      <c r="L1" s="2" t="s">
        <v>935</v>
      </c>
      <c r="M1" s="2" t="s">
        <v>937</v>
      </c>
      <c r="N1" s="2" t="s">
        <v>5</v>
      </c>
      <c r="O1" s="13" t="s">
        <v>1031</v>
      </c>
      <c r="P1" s="13" t="s">
        <v>1032</v>
      </c>
      <c r="Q1" s="2" t="s">
        <v>6</v>
      </c>
      <c r="R1" s="2" t="s">
        <v>7</v>
      </c>
      <c r="S1" s="2" t="s">
        <v>8</v>
      </c>
      <c r="T1" s="2" t="s">
        <v>1045</v>
      </c>
      <c r="U1" s="2" t="s">
        <v>9</v>
      </c>
      <c r="V1" s="2" t="s">
        <v>10</v>
      </c>
      <c r="W1" s="2" t="s">
        <v>11</v>
      </c>
      <c r="X1" s="2" t="s">
        <v>769</v>
      </c>
      <c r="Y1" s="2" t="s">
        <v>12</v>
      </c>
      <c r="Z1" s="2" t="s">
        <v>13</v>
      </c>
      <c r="AA1" s="2" t="s">
        <v>14</v>
      </c>
      <c r="AB1" s="3" t="s">
        <v>15</v>
      </c>
      <c r="AC1" s="2" t="s">
        <v>16</v>
      </c>
      <c r="AD1" s="2" t="s">
        <v>1151</v>
      </c>
      <c r="AE1" s="2" t="s">
        <v>17</v>
      </c>
      <c r="AF1" s="2" t="s">
        <v>18</v>
      </c>
      <c r="AG1" s="2" t="s">
        <v>19</v>
      </c>
      <c r="AH1" s="2" t="s">
        <v>20</v>
      </c>
      <c r="AI1" s="7" t="s">
        <v>1033</v>
      </c>
      <c r="AJ1" s="2" t="s">
        <v>786</v>
      </c>
      <c r="AK1" s="2" t="s">
        <v>1035</v>
      </c>
      <c r="AL1" s="2" t="s">
        <v>1036</v>
      </c>
      <c r="AM1" s="2" t="s">
        <v>21</v>
      </c>
      <c r="AN1" s="7" t="s">
        <v>1037</v>
      </c>
      <c r="AO1" s="2" t="s">
        <v>22</v>
      </c>
      <c r="AP1" s="2" t="s">
        <v>1038</v>
      </c>
      <c r="AQ1" s="2" t="s">
        <v>23</v>
      </c>
      <c r="AR1" s="2" t="s">
        <v>24</v>
      </c>
      <c r="AS1" s="1" t="s">
        <v>25</v>
      </c>
      <c r="AT1" s="15" t="s">
        <v>1039</v>
      </c>
      <c r="AU1" s="2" t="s">
        <v>26</v>
      </c>
      <c r="AV1" s="2" t="s">
        <v>27</v>
      </c>
      <c r="AW1" s="15" t="s">
        <v>1040</v>
      </c>
      <c r="AX1" s="2" t="s">
        <v>28</v>
      </c>
      <c r="AY1" s="2" t="s">
        <v>29</v>
      </c>
      <c r="AZ1" s="2" t="s">
        <v>30</v>
      </c>
      <c r="BA1" s="2" t="s">
        <v>31</v>
      </c>
      <c r="BB1" s="2" t="s">
        <v>32</v>
      </c>
      <c r="BC1" s="2" t="s">
        <v>33</v>
      </c>
      <c r="BD1" s="2" t="s">
        <v>34</v>
      </c>
      <c r="BE1" s="2" t="s">
        <v>1135</v>
      </c>
    </row>
    <row r="2" spans="1:57">
      <c r="A2" s="1" t="s">
        <v>35</v>
      </c>
      <c r="B2" s="1" t="s">
        <v>1124</v>
      </c>
      <c r="C2" s="3" t="s">
        <v>36</v>
      </c>
      <c r="D2" s="3" t="str">
        <f>CONCATENATE(A2," ",C2)</f>
        <v>101 和發大境</v>
      </c>
      <c r="E2" s="2" t="s">
        <v>37</v>
      </c>
      <c r="F2" s="4" t="s">
        <v>38</v>
      </c>
      <c r="G2" s="2" t="s">
        <v>768</v>
      </c>
      <c r="H2" s="14">
        <v>28</v>
      </c>
      <c r="I2" s="14">
        <v>29</v>
      </c>
      <c r="J2" s="14">
        <f>(H2+I2)/2</f>
        <v>28.5</v>
      </c>
      <c r="N2" s="2" t="s">
        <v>39</v>
      </c>
      <c r="O2" s="13">
        <v>170</v>
      </c>
      <c r="P2" s="13">
        <v>205</v>
      </c>
      <c r="Q2" s="8">
        <v>0.8</v>
      </c>
      <c r="R2" s="2" t="s">
        <v>40</v>
      </c>
      <c r="S2" s="2" t="s">
        <v>544</v>
      </c>
      <c r="T2" s="2" t="s">
        <v>1000</v>
      </c>
      <c r="U2" s="2" t="s">
        <v>49</v>
      </c>
      <c r="V2" s="2" t="s">
        <v>545</v>
      </c>
      <c r="W2" s="2" t="s">
        <v>546</v>
      </c>
      <c r="X2" s="2" t="s">
        <v>770</v>
      </c>
      <c r="Y2" s="2" t="s">
        <v>547</v>
      </c>
      <c r="Z2" s="2" t="s">
        <v>548</v>
      </c>
      <c r="AA2" s="2" t="s">
        <v>549</v>
      </c>
      <c r="AB2" s="2" t="s">
        <v>550</v>
      </c>
      <c r="AC2" s="2" t="s">
        <v>551</v>
      </c>
      <c r="AD2" s="2" t="s">
        <v>1153</v>
      </c>
      <c r="AE2" s="2" t="s">
        <v>552</v>
      </c>
      <c r="AF2" s="2" t="s">
        <v>553</v>
      </c>
      <c r="AG2" s="2" t="s">
        <v>554</v>
      </c>
      <c r="AH2" s="8">
        <v>0.33</v>
      </c>
      <c r="AI2" s="7">
        <v>0.33</v>
      </c>
      <c r="AJ2" s="2" t="s">
        <v>555</v>
      </c>
      <c r="AK2" s="2">
        <v>280</v>
      </c>
      <c r="AL2" s="2">
        <v>12</v>
      </c>
      <c r="AM2" s="7">
        <v>0.40899999999999997</v>
      </c>
      <c r="AN2" s="7">
        <v>0.40899999999999997</v>
      </c>
      <c r="AO2" s="2" t="s">
        <v>556</v>
      </c>
      <c r="AP2" s="2">
        <v>15</v>
      </c>
      <c r="AQ2" s="2" t="s">
        <v>557</v>
      </c>
      <c r="AR2" s="2" t="s">
        <v>90</v>
      </c>
      <c r="AS2" s="1" t="s">
        <v>558</v>
      </c>
      <c r="AT2" s="15">
        <v>1.0900000000000001</v>
      </c>
      <c r="AU2" s="2" t="s">
        <v>66</v>
      </c>
      <c r="AV2" s="2" t="s">
        <v>559</v>
      </c>
      <c r="AW2" s="22">
        <v>1586.57</v>
      </c>
      <c r="AX2" s="2" t="s">
        <v>68</v>
      </c>
      <c r="AY2" s="2" t="s">
        <v>69</v>
      </c>
      <c r="AZ2" s="2" t="s">
        <v>70</v>
      </c>
      <c r="BA2" s="2" t="s">
        <v>70</v>
      </c>
      <c r="BB2" s="2" t="s">
        <v>560</v>
      </c>
      <c r="BC2" s="2" t="s">
        <v>561</v>
      </c>
      <c r="BD2" s="2" t="s">
        <v>70</v>
      </c>
      <c r="BE2" s="2" t="s">
        <v>1136</v>
      </c>
    </row>
    <row r="3" spans="1:57">
      <c r="A3" s="1" t="s">
        <v>41</v>
      </c>
      <c r="B3" s="1" t="s">
        <v>1124</v>
      </c>
      <c r="C3" s="2" t="s">
        <v>42</v>
      </c>
      <c r="D3" s="3" t="str">
        <f t="shared" ref="D3:D50" si="0">CONCATENATE(A3," ",C3)</f>
        <v>102 鴻典</v>
      </c>
      <c r="E3" s="3" t="s">
        <v>43</v>
      </c>
      <c r="F3" s="4" t="s">
        <v>44</v>
      </c>
      <c r="G3" s="2" t="s">
        <v>45</v>
      </c>
      <c r="H3" s="14">
        <v>26</v>
      </c>
      <c r="I3" s="14">
        <v>26</v>
      </c>
      <c r="J3" s="14">
        <f t="shared" ref="J3:J50" si="1">(H3+I3)/2</f>
        <v>26</v>
      </c>
      <c r="N3" s="2" t="s">
        <v>46</v>
      </c>
      <c r="O3" s="13">
        <v>180</v>
      </c>
      <c r="P3" s="13">
        <v>210</v>
      </c>
      <c r="Q3" s="2" t="s">
        <v>47</v>
      </c>
      <c r="R3" s="2" t="s">
        <v>40</v>
      </c>
      <c r="S3" s="2" t="s">
        <v>48</v>
      </c>
      <c r="T3" s="2" t="s">
        <v>1002</v>
      </c>
      <c r="U3" s="2" t="s">
        <v>49</v>
      </c>
      <c r="V3" s="2" t="s">
        <v>50</v>
      </c>
      <c r="W3" s="2" t="s">
        <v>51</v>
      </c>
      <c r="X3" s="2" t="s">
        <v>770</v>
      </c>
      <c r="Y3" s="2" t="s">
        <v>52</v>
      </c>
      <c r="Z3" s="2" t="s">
        <v>53</v>
      </c>
      <c r="AA3" s="2" t="s">
        <v>53</v>
      </c>
      <c r="AB3" s="2" t="s">
        <v>54</v>
      </c>
      <c r="AC3" s="2" t="s">
        <v>55</v>
      </c>
      <c r="AD3" s="2" t="s">
        <v>1153</v>
      </c>
      <c r="AE3" s="2" t="s">
        <v>56</v>
      </c>
      <c r="AF3" s="2" t="s">
        <v>57</v>
      </c>
      <c r="AG3" s="2" t="s">
        <v>58</v>
      </c>
      <c r="AH3" s="2" t="s">
        <v>59</v>
      </c>
      <c r="AI3" s="7">
        <v>0.32</v>
      </c>
      <c r="AJ3" s="2" t="s">
        <v>60</v>
      </c>
      <c r="AK3" s="2">
        <v>196</v>
      </c>
      <c r="AL3" s="2">
        <v>11</v>
      </c>
      <c r="AM3" s="2" t="s">
        <v>61</v>
      </c>
      <c r="AN3" s="7">
        <v>0.39800000000000002</v>
      </c>
      <c r="AO3" s="2" t="s">
        <v>62</v>
      </c>
      <c r="AP3" s="2">
        <v>15</v>
      </c>
      <c r="AQ3" s="2" t="s">
        <v>63</v>
      </c>
      <c r="AR3" s="2" t="s">
        <v>64</v>
      </c>
      <c r="AS3" s="1" t="s">
        <v>65</v>
      </c>
      <c r="AT3" s="15">
        <v>1.03</v>
      </c>
      <c r="AU3" s="2" t="s">
        <v>66</v>
      </c>
      <c r="AV3" s="2" t="s">
        <v>67</v>
      </c>
      <c r="AW3" s="22">
        <v>1062.93</v>
      </c>
      <c r="AX3" s="2" t="s">
        <v>68</v>
      </c>
      <c r="AY3" s="2" t="s">
        <v>69</v>
      </c>
      <c r="AZ3" s="2" t="s">
        <v>70</v>
      </c>
      <c r="BA3" s="2" t="s">
        <v>70</v>
      </c>
      <c r="BB3" s="2" t="s">
        <v>71</v>
      </c>
      <c r="BC3" s="2" t="s">
        <v>72</v>
      </c>
      <c r="BD3" s="2" t="s">
        <v>70</v>
      </c>
      <c r="BE3" s="2" t="s">
        <v>1137</v>
      </c>
    </row>
    <row r="4" spans="1:57">
      <c r="A4" s="1" t="s">
        <v>73</v>
      </c>
      <c r="B4" s="1" t="s">
        <v>1124</v>
      </c>
      <c r="C4" s="2" t="s">
        <v>74</v>
      </c>
      <c r="D4" s="3" t="str">
        <f t="shared" si="0"/>
        <v>103 樂捷市</v>
      </c>
      <c r="E4" s="2" t="s">
        <v>75</v>
      </c>
      <c r="F4" s="4" t="s">
        <v>76</v>
      </c>
      <c r="G4" s="2" t="s">
        <v>45</v>
      </c>
      <c r="H4" s="14">
        <v>26</v>
      </c>
      <c r="I4" s="14">
        <v>26</v>
      </c>
      <c r="J4" s="14">
        <f t="shared" si="1"/>
        <v>26</v>
      </c>
      <c r="K4" s="2" t="s">
        <v>973</v>
      </c>
      <c r="L4" s="9" t="s">
        <v>972</v>
      </c>
      <c r="N4" s="2" t="s">
        <v>77</v>
      </c>
      <c r="O4" s="13">
        <v>150</v>
      </c>
      <c r="P4" s="13">
        <v>195</v>
      </c>
      <c r="Q4" s="2" t="s">
        <v>78</v>
      </c>
      <c r="R4" s="2" t="s">
        <v>40</v>
      </c>
      <c r="S4" s="2" t="s">
        <v>79</v>
      </c>
      <c r="T4" s="2" t="s">
        <v>1004</v>
      </c>
      <c r="U4" s="2" t="s">
        <v>49</v>
      </c>
      <c r="V4" s="2" t="s">
        <v>80</v>
      </c>
      <c r="W4" s="2" t="s">
        <v>81</v>
      </c>
      <c r="X4" s="2" t="s">
        <v>770</v>
      </c>
      <c r="Y4" s="2" t="s">
        <v>82</v>
      </c>
      <c r="Z4" s="2" t="s">
        <v>83</v>
      </c>
      <c r="AA4" s="2" t="s">
        <v>84</v>
      </c>
      <c r="AB4" s="2" t="s">
        <v>54</v>
      </c>
      <c r="AC4" s="2" t="s">
        <v>55</v>
      </c>
      <c r="AD4" s="2" t="s">
        <v>1153</v>
      </c>
      <c r="AE4" s="2" t="s">
        <v>56</v>
      </c>
      <c r="AF4" s="2" t="s">
        <v>57</v>
      </c>
      <c r="AG4" s="2" t="s">
        <v>85</v>
      </c>
      <c r="AH4" s="2" t="s">
        <v>86</v>
      </c>
      <c r="AI4" s="7">
        <v>0.315</v>
      </c>
      <c r="AJ4" s="2" t="s">
        <v>87</v>
      </c>
      <c r="AK4" s="2">
        <v>326</v>
      </c>
      <c r="AL4" s="2">
        <v>20</v>
      </c>
      <c r="AM4" s="2" t="s">
        <v>88</v>
      </c>
      <c r="AN4" s="7">
        <v>0.49559999999999998</v>
      </c>
      <c r="AO4" s="2" t="s">
        <v>62</v>
      </c>
      <c r="AP4" s="2">
        <v>15</v>
      </c>
      <c r="AQ4" s="2" t="s">
        <v>89</v>
      </c>
      <c r="AR4" s="2" t="s">
        <v>90</v>
      </c>
      <c r="AS4" s="1" t="s">
        <v>596</v>
      </c>
      <c r="AT4" s="15">
        <v>1</v>
      </c>
      <c r="AU4" s="2" t="s">
        <v>66</v>
      </c>
      <c r="AV4" s="2" t="s">
        <v>91</v>
      </c>
      <c r="AW4" s="22">
        <v>1848.44</v>
      </c>
      <c r="AX4" s="2" t="s">
        <v>68</v>
      </c>
      <c r="AY4" s="2" t="s">
        <v>69</v>
      </c>
      <c r="AZ4" s="2" t="s">
        <v>70</v>
      </c>
      <c r="BA4" s="2" t="s">
        <v>70</v>
      </c>
      <c r="BB4" s="2" t="s">
        <v>92</v>
      </c>
      <c r="BC4" s="2" t="s">
        <v>93</v>
      </c>
      <c r="BD4" s="2" t="s">
        <v>70</v>
      </c>
      <c r="BE4" s="2" t="s">
        <v>1136</v>
      </c>
    </row>
    <row r="5" spans="1:57">
      <c r="A5" s="1" t="s">
        <v>94</v>
      </c>
      <c r="B5" s="1" t="s">
        <v>1124</v>
      </c>
      <c r="C5" s="2" t="s">
        <v>95</v>
      </c>
      <c r="D5" s="3" t="str">
        <f t="shared" si="0"/>
        <v>104 奇幻莊園</v>
      </c>
      <c r="E5" s="3" t="s">
        <v>96</v>
      </c>
      <c r="F5" s="4" t="s">
        <v>97</v>
      </c>
      <c r="G5" s="2" t="s">
        <v>98</v>
      </c>
      <c r="H5" s="14">
        <v>24.5</v>
      </c>
      <c r="I5" s="14">
        <v>25.5</v>
      </c>
      <c r="J5" s="14">
        <f t="shared" si="1"/>
        <v>25</v>
      </c>
      <c r="K5" s="2" t="s">
        <v>971</v>
      </c>
      <c r="L5" s="9" t="s">
        <v>970</v>
      </c>
      <c r="N5" s="2" t="s">
        <v>99</v>
      </c>
      <c r="O5" s="13">
        <v>160</v>
      </c>
      <c r="P5" s="13">
        <v>220</v>
      </c>
      <c r="Q5" s="2" t="s">
        <v>47</v>
      </c>
      <c r="R5" s="2" t="s">
        <v>40</v>
      </c>
      <c r="S5" s="2" t="s">
        <v>754</v>
      </c>
      <c r="T5" s="2" t="s">
        <v>1004</v>
      </c>
      <c r="U5" s="2" t="s">
        <v>49</v>
      </c>
      <c r="V5" s="2" t="s">
        <v>100</v>
      </c>
      <c r="W5" s="2" t="s">
        <v>81</v>
      </c>
      <c r="X5" s="2" t="s">
        <v>770</v>
      </c>
      <c r="Y5" s="2" t="s">
        <v>52</v>
      </c>
      <c r="Z5" s="2" t="s">
        <v>101</v>
      </c>
      <c r="AA5" s="2" t="s">
        <v>101</v>
      </c>
      <c r="AB5" s="2" t="s">
        <v>102</v>
      </c>
      <c r="AC5" s="2" t="s">
        <v>103</v>
      </c>
      <c r="AD5" s="2" t="s">
        <v>1153</v>
      </c>
      <c r="AE5" s="2" t="s">
        <v>104</v>
      </c>
      <c r="AF5" s="2" t="s">
        <v>57</v>
      </c>
      <c r="AG5" s="2" t="s">
        <v>105</v>
      </c>
      <c r="AH5" s="2" t="s">
        <v>59</v>
      </c>
      <c r="AI5" s="7">
        <v>0.32</v>
      </c>
      <c r="AJ5" s="2" t="s">
        <v>106</v>
      </c>
      <c r="AK5" s="2">
        <v>173</v>
      </c>
      <c r="AL5" s="2">
        <v>11</v>
      </c>
      <c r="AM5" s="2" t="s">
        <v>107</v>
      </c>
      <c r="AN5" s="7">
        <v>0.48259999999999997</v>
      </c>
      <c r="AO5" s="2" t="s">
        <v>108</v>
      </c>
      <c r="AP5" s="2">
        <v>14</v>
      </c>
      <c r="AQ5" s="2" t="s">
        <v>109</v>
      </c>
      <c r="AR5" s="2" t="s">
        <v>110</v>
      </c>
      <c r="AS5" s="1" t="s">
        <v>111</v>
      </c>
      <c r="AT5" s="15">
        <v>0.98</v>
      </c>
      <c r="AU5" s="2" t="s">
        <v>66</v>
      </c>
      <c r="AV5" s="2" t="s">
        <v>112</v>
      </c>
      <c r="AW5" s="22">
        <v>954.46</v>
      </c>
      <c r="AX5" s="2" t="s">
        <v>68</v>
      </c>
      <c r="AY5" s="2" t="s">
        <v>69</v>
      </c>
      <c r="AZ5" s="2" t="s">
        <v>70</v>
      </c>
      <c r="BA5" s="2" t="s">
        <v>70</v>
      </c>
      <c r="BB5" s="2" t="s">
        <v>113</v>
      </c>
      <c r="BC5" s="2" t="s">
        <v>114</v>
      </c>
      <c r="BD5" s="2" t="s">
        <v>70</v>
      </c>
      <c r="BE5" s="2" t="s">
        <v>1136</v>
      </c>
    </row>
    <row r="6" spans="1:57">
      <c r="A6" s="1" t="s">
        <v>115</v>
      </c>
      <c r="B6" s="1" t="s">
        <v>1124</v>
      </c>
      <c r="C6" s="2" t="s">
        <v>116</v>
      </c>
      <c r="D6" s="3" t="str">
        <f t="shared" si="0"/>
        <v>105 樂田田</v>
      </c>
      <c r="E6" s="2" t="s">
        <v>117</v>
      </c>
      <c r="F6" s="9" t="s">
        <v>562</v>
      </c>
      <c r="G6" s="2" t="s">
        <v>563</v>
      </c>
      <c r="H6" s="14">
        <v>25</v>
      </c>
      <c r="I6" s="14">
        <v>26</v>
      </c>
      <c r="J6" s="14">
        <f t="shared" si="1"/>
        <v>25.5</v>
      </c>
      <c r="N6" s="2" t="s">
        <v>564</v>
      </c>
      <c r="O6" s="13">
        <v>190</v>
      </c>
      <c r="P6" s="13">
        <v>230</v>
      </c>
      <c r="Q6" s="8">
        <v>0.8</v>
      </c>
      <c r="R6" s="2" t="s">
        <v>40</v>
      </c>
      <c r="S6" s="2" t="s">
        <v>565</v>
      </c>
      <c r="T6" s="2" t="s">
        <v>1006</v>
      </c>
      <c r="U6" s="2" t="s">
        <v>49</v>
      </c>
      <c r="V6" s="2" t="s">
        <v>566</v>
      </c>
      <c r="W6" s="2" t="s">
        <v>546</v>
      </c>
      <c r="X6" s="2" t="s">
        <v>770</v>
      </c>
      <c r="Y6" s="2" t="s">
        <v>52</v>
      </c>
      <c r="Z6" s="2" t="s">
        <v>567</v>
      </c>
      <c r="AA6" s="2" t="s">
        <v>568</v>
      </c>
      <c r="AB6" s="2" t="s">
        <v>569</v>
      </c>
      <c r="AC6" s="2" t="s">
        <v>570</v>
      </c>
      <c r="AD6" s="2" t="s">
        <v>1153</v>
      </c>
      <c r="AE6" s="2" t="s">
        <v>571</v>
      </c>
      <c r="AF6" s="2" t="s">
        <v>572</v>
      </c>
      <c r="AG6" s="2" t="s">
        <v>573</v>
      </c>
      <c r="AH6" s="7">
        <v>0.32600000000000001</v>
      </c>
      <c r="AI6" s="7">
        <v>0.32600000000000001</v>
      </c>
      <c r="AJ6" s="2" t="s">
        <v>574</v>
      </c>
      <c r="AK6" s="2">
        <v>187</v>
      </c>
      <c r="AL6" s="2">
        <v>12</v>
      </c>
      <c r="AM6" s="7">
        <v>0.44269999999999998</v>
      </c>
      <c r="AN6" s="7">
        <v>0.44269999999999998</v>
      </c>
      <c r="AO6" s="2" t="s">
        <v>575</v>
      </c>
      <c r="AP6" s="2">
        <v>14</v>
      </c>
      <c r="AQ6" s="7" t="s">
        <v>576</v>
      </c>
      <c r="AR6" s="2" t="s">
        <v>577</v>
      </c>
      <c r="AS6" s="1" t="s">
        <v>578</v>
      </c>
      <c r="AT6" s="15">
        <v>0.87</v>
      </c>
      <c r="AU6" s="2" t="s">
        <v>66</v>
      </c>
      <c r="AV6" s="2" t="s">
        <v>579</v>
      </c>
      <c r="AW6" s="22">
        <v>907.61</v>
      </c>
      <c r="AX6" s="2" t="s">
        <v>68</v>
      </c>
      <c r="AY6" s="2" t="s">
        <v>69</v>
      </c>
      <c r="AZ6" s="2" t="s">
        <v>70</v>
      </c>
      <c r="BA6" s="2" t="s">
        <v>70</v>
      </c>
      <c r="BB6" s="2" t="s">
        <v>580</v>
      </c>
      <c r="BC6" s="2" t="s">
        <v>581</v>
      </c>
      <c r="BD6" s="2" t="s">
        <v>70</v>
      </c>
      <c r="BE6" s="2" t="s">
        <v>1136</v>
      </c>
    </row>
    <row r="7" spans="1:57">
      <c r="A7" s="1" t="s">
        <v>118</v>
      </c>
      <c r="B7" s="1" t="s">
        <v>1124</v>
      </c>
      <c r="C7" s="2" t="s">
        <v>969</v>
      </c>
      <c r="D7" s="3" t="str">
        <f t="shared" si="0"/>
        <v>106 玉子園</v>
      </c>
      <c r="E7" s="3" t="s">
        <v>119</v>
      </c>
      <c r="F7" s="4" t="s">
        <v>120</v>
      </c>
      <c r="G7" s="2" t="s">
        <v>121</v>
      </c>
      <c r="H7" s="14">
        <v>26</v>
      </c>
      <c r="I7" s="14">
        <v>28</v>
      </c>
      <c r="J7" s="14">
        <f t="shared" si="1"/>
        <v>27</v>
      </c>
      <c r="N7" s="2" t="s">
        <v>122</v>
      </c>
      <c r="O7" s="13">
        <v>130</v>
      </c>
      <c r="P7" s="13">
        <v>205</v>
      </c>
      <c r="Q7" s="2" t="s">
        <v>47</v>
      </c>
      <c r="R7" s="2" t="s">
        <v>40</v>
      </c>
      <c r="S7" s="2" t="s">
        <v>123</v>
      </c>
      <c r="T7" s="2" t="s">
        <v>1008</v>
      </c>
      <c r="U7" s="2" t="s">
        <v>49</v>
      </c>
      <c r="V7" s="2" t="s">
        <v>124</v>
      </c>
      <c r="W7" s="2" t="s">
        <v>51</v>
      </c>
      <c r="X7" s="2" t="s">
        <v>770</v>
      </c>
      <c r="Y7" s="2" t="s">
        <v>52</v>
      </c>
      <c r="Z7" s="2" t="s">
        <v>125</v>
      </c>
      <c r="AA7" s="2" t="s">
        <v>126</v>
      </c>
      <c r="AB7" s="2" t="s">
        <v>127</v>
      </c>
      <c r="AC7" s="2" t="s">
        <v>128</v>
      </c>
      <c r="AD7" s="2" t="s">
        <v>1153</v>
      </c>
      <c r="AE7" s="2" t="s">
        <v>129</v>
      </c>
      <c r="AF7" s="2" t="s">
        <v>130</v>
      </c>
      <c r="AG7" s="2" t="s">
        <v>131</v>
      </c>
      <c r="AH7" s="2" t="s">
        <v>132</v>
      </c>
      <c r="AI7" s="7">
        <v>0.315</v>
      </c>
      <c r="AJ7" s="2" t="s">
        <v>133</v>
      </c>
      <c r="AK7" s="2">
        <v>186</v>
      </c>
      <c r="AL7" s="2">
        <v>7</v>
      </c>
      <c r="AM7" s="2" t="s">
        <v>134</v>
      </c>
      <c r="AN7" s="7">
        <v>0.44230000000000003</v>
      </c>
      <c r="AO7" s="2" t="s">
        <v>62</v>
      </c>
      <c r="AP7" s="2">
        <v>15</v>
      </c>
      <c r="AQ7" s="2" t="s">
        <v>135</v>
      </c>
      <c r="AR7" s="2" t="s">
        <v>90</v>
      </c>
      <c r="AS7" s="1" t="s">
        <v>136</v>
      </c>
      <c r="AT7" s="15">
        <v>0.99</v>
      </c>
      <c r="AU7" s="2" t="s">
        <v>66</v>
      </c>
      <c r="AV7" s="2" t="s">
        <v>137</v>
      </c>
      <c r="AW7" s="22">
        <v>1042.98</v>
      </c>
      <c r="AX7" s="2" t="s">
        <v>68</v>
      </c>
      <c r="AY7" s="2" t="s">
        <v>69</v>
      </c>
      <c r="AZ7" s="2" t="s">
        <v>70</v>
      </c>
      <c r="BA7" s="2" t="s">
        <v>70</v>
      </c>
      <c r="BB7" s="2" t="s">
        <v>138</v>
      </c>
      <c r="BC7" s="2" t="s">
        <v>72</v>
      </c>
      <c r="BD7" s="2" t="s">
        <v>70</v>
      </c>
      <c r="BE7" s="2" t="s">
        <v>1136</v>
      </c>
    </row>
    <row r="8" spans="1:57">
      <c r="A8" s="1" t="s">
        <v>139</v>
      </c>
      <c r="B8" s="1" t="s">
        <v>1124</v>
      </c>
      <c r="C8" s="2" t="s">
        <v>1146</v>
      </c>
      <c r="D8" s="3" t="str">
        <f t="shared" si="0"/>
        <v>107 台北國際村</v>
      </c>
      <c r="E8" s="3" t="s">
        <v>140</v>
      </c>
      <c r="F8" s="4" t="s">
        <v>141</v>
      </c>
      <c r="G8" s="2" t="s">
        <v>142</v>
      </c>
      <c r="H8" s="14">
        <v>25</v>
      </c>
      <c r="I8" s="14">
        <v>26</v>
      </c>
      <c r="J8" s="14">
        <f t="shared" si="1"/>
        <v>25.5</v>
      </c>
      <c r="K8" s="2" t="s">
        <v>968</v>
      </c>
      <c r="L8" s="9" t="s">
        <v>967</v>
      </c>
      <c r="N8" s="2" t="s">
        <v>143</v>
      </c>
      <c r="O8" s="13">
        <v>160</v>
      </c>
      <c r="P8" s="13">
        <v>195</v>
      </c>
      <c r="Q8" s="2" t="s">
        <v>47</v>
      </c>
      <c r="R8" s="2" t="s">
        <v>40</v>
      </c>
      <c r="S8" s="2" t="s">
        <v>144</v>
      </c>
      <c r="T8" s="2" t="s">
        <v>1004</v>
      </c>
      <c r="U8" s="2" t="s">
        <v>49</v>
      </c>
      <c r="V8" s="2" t="s">
        <v>145</v>
      </c>
      <c r="W8" s="2" t="s">
        <v>51</v>
      </c>
      <c r="X8" s="2" t="s">
        <v>770</v>
      </c>
      <c r="Y8" s="2" t="s">
        <v>52</v>
      </c>
      <c r="Z8" s="2" t="s">
        <v>146</v>
      </c>
      <c r="AA8" s="2" t="s">
        <v>147</v>
      </c>
      <c r="AB8" s="2" t="s">
        <v>148</v>
      </c>
      <c r="AC8" s="2" t="s">
        <v>149</v>
      </c>
      <c r="AD8" s="2" t="s">
        <v>1153</v>
      </c>
      <c r="AE8" s="2" t="s">
        <v>56</v>
      </c>
      <c r="AF8" s="2" t="s">
        <v>150</v>
      </c>
      <c r="AG8" s="2" t="s">
        <v>85</v>
      </c>
      <c r="AH8" s="2" t="s">
        <v>132</v>
      </c>
      <c r="AI8" s="7">
        <v>0.315</v>
      </c>
      <c r="AJ8" s="2" t="s">
        <v>151</v>
      </c>
      <c r="AK8" s="2">
        <v>198</v>
      </c>
      <c r="AL8" s="2">
        <v>8</v>
      </c>
      <c r="AM8" s="2" t="s">
        <v>152</v>
      </c>
      <c r="AN8" s="7">
        <v>0.45669999999999999</v>
      </c>
      <c r="AO8" s="2" t="s">
        <v>153</v>
      </c>
      <c r="AP8" s="2">
        <v>15</v>
      </c>
      <c r="AQ8" s="2" t="s">
        <v>154</v>
      </c>
      <c r="AR8" s="2" t="s">
        <v>90</v>
      </c>
      <c r="AS8" s="1" t="s">
        <v>596</v>
      </c>
      <c r="AT8" s="15">
        <v>1</v>
      </c>
      <c r="AU8" s="2" t="s">
        <v>66</v>
      </c>
      <c r="AV8" s="2" t="s">
        <v>155</v>
      </c>
      <c r="AW8" s="22">
        <v>1054.47</v>
      </c>
      <c r="AX8" s="2" t="s">
        <v>68</v>
      </c>
      <c r="AY8" s="2" t="s">
        <v>69</v>
      </c>
      <c r="AZ8" s="2" t="s">
        <v>70</v>
      </c>
      <c r="BA8" s="2" t="s">
        <v>70</v>
      </c>
      <c r="BB8" s="2" t="s">
        <v>156</v>
      </c>
      <c r="BC8" s="2" t="s">
        <v>72</v>
      </c>
      <c r="BD8" s="2" t="s">
        <v>70</v>
      </c>
      <c r="BE8" s="2" t="s">
        <v>1136</v>
      </c>
    </row>
    <row r="9" spans="1:57">
      <c r="A9" s="1" t="s">
        <v>157</v>
      </c>
      <c r="B9" s="1" t="s">
        <v>1126</v>
      </c>
      <c r="C9" s="2" t="s">
        <v>158</v>
      </c>
      <c r="D9" s="3" t="str">
        <f t="shared" si="0"/>
        <v>201 富宇上城</v>
      </c>
      <c r="E9" s="3" t="s">
        <v>159</v>
      </c>
      <c r="F9" s="4" t="s">
        <v>160</v>
      </c>
      <c r="G9" s="2" t="s">
        <v>161</v>
      </c>
      <c r="H9" s="14">
        <v>30</v>
      </c>
      <c r="I9" s="14">
        <v>35</v>
      </c>
      <c r="J9" s="14">
        <f t="shared" si="1"/>
        <v>32.5</v>
      </c>
      <c r="N9" s="2" t="s">
        <v>162</v>
      </c>
      <c r="O9" s="13">
        <v>170</v>
      </c>
      <c r="P9" s="13">
        <v>205</v>
      </c>
      <c r="Q9" s="2" t="s">
        <v>47</v>
      </c>
      <c r="R9" s="2" t="s">
        <v>40</v>
      </c>
      <c r="S9" s="2" t="s">
        <v>163</v>
      </c>
      <c r="T9" s="2" t="s">
        <v>1010</v>
      </c>
      <c r="U9" s="2" t="s">
        <v>49</v>
      </c>
      <c r="V9" s="2" t="s">
        <v>164</v>
      </c>
      <c r="W9" s="2" t="s">
        <v>51</v>
      </c>
      <c r="X9" s="2" t="s">
        <v>770</v>
      </c>
      <c r="Y9" s="2" t="s">
        <v>52</v>
      </c>
      <c r="Z9" s="2" t="s">
        <v>165</v>
      </c>
      <c r="AA9" s="2" t="s">
        <v>166</v>
      </c>
      <c r="AB9" s="2" t="s">
        <v>167</v>
      </c>
      <c r="AC9" s="2" t="s">
        <v>168</v>
      </c>
      <c r="AD9" s="2" t="s">
        <v>168</v>
      </c>
      <c r="AE9" s="2" t="s">
        <v>169</v>
      </c>
      <c r="AF9" s="2" t="s">
        <v>170</v>
      </c>
      <c r="AG9" s="2" t="s">
        <v>171</v>
      </c>
      <c r="AH9" s="2" t="s">
        <v>172</v>
      </c>
      <c r="AI9" s="7">
        <v>0.33500000000000002</v>
      </c>
      <c r="AJ9" s="2" t="s">
        <v>173</v>
      </c>
      <c r="AK9" s="2">
        <v>832</v>
      </c>
      <c r="AL9" s="2">
        <v>0</v>
      </c>
      <c r="AM9" s="2" t="s">
        <v>174</v>
      </c>
      <c r="AN9" s="7">
        <v>0.31069999999999998</v>
      </c>
      <c r="AO9" s="2" t="s">
        <v>175</v>
      </c>
      <c r="AP9" s="2">
        <v>24</v>
      </c>
      <c r="AQ9" s="2" t="s">
        <v>176</v>
      </c>
      <c r="AR9" s="2" t="s">
        <v>177</v>
      </c>
      <c r="AS9" s="1" t="s">
        <v>178</v>
      </c>
      <c r="AT9" s="15">
        <v>1.1200000000000001</v>
      </c>
      <c r="AU9" s="2" t="s">
        <v>66</v>
      </c>
      <c r="AV9" s="2" t="s">
        <v>179</v>
      </c>
      <c r="AW9" s="22">
        <v>4046.9</v>
      </c>
      <c r="AX9" s="2" t="s">
        <v>68</v>
      </c>
      <c r="AY9" s="2" t="s">
        <v>180</v>
      </c>
      <c r="AZ9" s="2" t="s">
        <v>70</v>
      </c>
      <c r="BA9" s="2" t="s">
        <v>70</v>
      </c>
      <c r="BB9" s="2" t="s">
        <v>181</v>
      </c>
      <c r="BC9" s="2" t="s">
        <v>182</v>
      </c>
      <c r="BD9" s="2" t="s">
        <v>70</v>
      </c>
      <c r="BE9" s="2" t="s">
        <v>1137</v>
      </c>
    </row>
    <row r="10" spans="1:57">
      <c r="A10" s="1" t="s">
        <v>183</v>
      </c>
      <c r="B10" s="1" t="s">
        <v>1126</v>
      </c>
      <c r="C10" s="2" t="s">
        <v>184</v>
      </c>
      <c r="D10" s="3" t="str">
        <f t="shared" si="0"/>
        <v>202 禾悅花園</v>
      </c>
      <c r="E10" s="3" t="s">
        <v>185</v>
      </c>
      <c r="F10" s="4" t="s">
        <v>186</v>
      </c>
      <c r="G10" s="2" t="s">
        <v>187</v>
      </c>
      <c r="H10" s="14">
        <v>28</v>
      </c>
      <c r="I10" s="14">
        <v>29</v>
      </c>
      <c r="J10" s="14">
        <f t="shared" si="1"/>
        <v>28.5</v>
      </c>
      <c r="N10" s="2" t="s">
        <v>188</v>
      </c>
      <c r="O10" s="13">
        <v>130</v>
      </c>
      <c r="P10" s="13">
        <v>200</v>
      </c>
      <c r="Q10" s="2" t="s">
        <v>47</v>
      </c>
      <c r="R10" s="2" t="s">
        <v>40</v>
      </c>
      <c r="S10" s="2" t="s">
        <v>189</v>
      </c>
      <c r="T10" s="2" t="s">
        <v>1012</v>
      </c>
      <c r="U10" s="2" t="s">
        <v>49</v>
      </c>
      <c r="V10" s="2" t="s">
        <v>190</v>
      </c>
      <c r="W10" s="2" t="s">
        <v>51</v>
      </c>
      <c r="X10" s="2" t="s">
        <v>770</v>
      </c>
      <c r="Y10" s="2" t="s">
        <v>52</v>
      </c>
      <c r="Z10" s="2" t="s">
        <v>191</v>
      </c>
      <c r="AA10" s="2" t="s">
        <v>192</v>
      </c>
      <c r="AB10" s="2" t="s">
        <v>193</v>
      </c>
      <c r="AC10" s="3" t="s">
        <v>1155</v>
      </c>
      <c r="AD10" s="3" t="s">
        <v>1155</v>
      </c>
      <c r="AE10" s="2" t="s">
        <v>194</v>
      </c>
      <c r="AF10" s="2" t="s">
        <v>195</v>
      </c>
      <c r="AG10" s="2" t="s">
        <v>196</v>
      </c>
      <c r="AH10" s="2" t="s">
        <v>172</v>
      </c>
      <c r="AI10" s="7">
        <v>0.33500000000000002</v>
      </c>
      <c r="AJ10" s="2" t="s">
        <v>197</v>
      </c>
      <c r="AK10" s="2">
        <v>1044</v>
      </c>
      <c r="AL10" s="2">
        <v>0</v>
      </c>
      <c r="AM10" s="2" t="s">
        <v>198</v>
      </c>
      <c r="AN10" s="7">
        <v>0.52939999999999998</v>
      </c>
      <c r="AO10" s="2" t="s">
        <v>199</v>
      </c>
      <c r="AP10" s="2">
        <v>15</v>
      </c>
      <c r="AQ10" s="2" t="s">
        <v>200</v>
      </c>
      <c r="AR10" s="2" t="s">
        <v>201</v>
      </c>
      <c r="AS10" s="1" t="s">
        <v>202</v>
      </c>
      <c r="AT10" s="15">
        <v>1.02</v>
      </c>
      <c r="AU10" s="2" t="s">
        <v>66</v>
      </c>
      <c r="AV10" s="2" t="s">
        <v>203</v>
      </c>
      <c r="AW10" s="22">
        <v>4720.8900000000003</v>
      </c>
      <c r="AX10" s="2" t="s">
        <v>68</v>
      </c>
      <c r="AY10" s="2" t="s">
        <v>180</v>
      </c>
      <c r="AZ10" s="2" t="s">
        <v>70</v>
      </c>
      <c r="BA10" s="2" t="s">
        <v>70</v>
      </c>
      <c r="BB10" s="2" t="s">
        <v>204</v>
      </c>
      <c r="BC10" s="2" t="s">
        <v>205</v>
      </c>
      <c r="BD10" s="2" t="s">
        <v>70</v>
      </c>
      <c r="BE10" s="2" t="s">
        <v>1137</v>
      </c>
    </row>
    <row r="11" spans="1:57">
      <c r="A11" s="1" t="s">
        <v>206</v>
      </c>
      <c r="B11" s="1" t="s">
        <v>1126</v>
      </c>
      <c r="C11" s="2" t="s">
        <v>974</v>
      </c>
      <c r="D11" s="3" t="str">
        <f t="shared" si="0"/>
        <v>203 耀台北</v>
      </c>
      <c r="E11" s="3" t="s">
        <v>207</v>
      </c>
      <c r="F11" s="4" t="s">
        <v>208</v>
      </c>
      <c r="G11" s="2" t="s">
        <v>121</v>
      </c>
      <c r="H11" s="14">
        <v>26</v>
      </c>
      <c r="I11" s="14">
        <v>28</v>
      </c>
      <c r="J11" s="14">
        <f t="shared" si="1"/>
        <v>27</v>
      </c>
      <c r="N11" s="2" t="s">
        <v>209</v>
      </c>
      <c r="O11" s="13">
        <v>170</v>
      </c>
      <c r="P11" s="13">
        <v>195</v>
      </c>
      <c r="Q11" s="2" t="s">
        <v>78</v>
      </c>
      <c r="R11" s="2" t="s">
        <v>40</v>
      </c>
      <c r="S11" s="2" t="s">
        <v>79</v>
      </c>
      <c r="T11" s="2" t="s">
        <v>1004</v>
      </c>
      <c r="U11" s="2" t="s">
        <v>49</v>
      </c>
      <c r="V11" s="2" t="s">
        <v>210</v>
      </c>
      <c r="W11" s="2" t="s">
        <v>51</v>
      </c>
      <c r="X11" s="2" t="s">
        <v>770</v>
      </c>
      <c r="Y11" s="2" t="s">
        <v>52</v>
      </c>
      <c r="Z11" s="2" t="s">
        <v>211</v>
      </c>
      <c r="AA11" s="2" t="s">
        <v>212</v>
      </c>
      <c r="AB11" s="2" t="s">
        <v>213</v>
      </c>
      <c r="AC11" s="2" t="s">
        <v>214</v>
      </c>
      <c r="AD11" s="2" t="s">
        <v>1153</v>
      </c>
      <c r="AE11" s="2" t="s">
        <v>56</v>
      </c>
      <c r="AF11" s="2" t="s">
        <v>130</v>
      </c>
      <c r="AG11" s="2" t="s">
        <v>215</v>
      </c>
      <c r="AH11" s="2" t="s">
        <v>86</v>
      </c>
      <c r="AI11" s="7">
        <v>0.315</v>
      </c>
      <c r="AJ11" s="2" t="s">
        <v>216</v>
      </c>
      <c r="AK11" s="2">
        <v>199</v>
      </c>
      <c r="AL11" s="2">
        <v>2</v>
      </c>
      <c r="AM11" s="2" t="s">
        <v>217</v>
      </c>
      <c r="AN11" s="7">
        <v>0.46139999999999998</v>
      </c>
      <c r="AO11" s="2" t="s">
        <v>153</v>
      </c>
      <c r="AP11" s="2">
        <v>15</v>
      </c>
      <c r="AQ11" s="2" t="s">
        <v>218</v>
      </c>
      <c r="AR11" s="2" t="s">
        <v>90</v>
      </c>
      <c r="AS11" s="1" t="s">
        <v>219</v>
      </c>
      <c r="AT11" s="15">
        <v>1.01</v>
      </c>
      <c r="AU11" s="2" t="s">
        <v>66</v>
      </c>
      <c r="AV11" s="2" t="s">
        <v>220</v>
      </c>
      <c r="AW11" s="22">
        <v>909.91</v>
      </c>
      <c r="AX11" s="2" t="s">
        <v>68</v>
      </c>
      <c r="AY11" s="2" t="s">
        <v>69</v>
      </c>
      <c r="AZ11" s="2" t="s">
        <v>70</v>
      </c>
      <c r="BA11" s="2" t="s">
        <v>70</v>
      </c>
      <c r="BB11" s="2" t="s">
        <v>221</v>
      </c>
      <c r="BC11" s="2" t="s">
        <v>72</v>
      </c>
      <c r="BD11" s="2" t="s">
        <v>70</v>
      </c>
      <c r="BE11" s="2" t="s">
        <v>1137</v>
      </c>
    </row>
    <row r="12" spans="1:57" ht="16">
      <c r="A12" s="1" t="s">
        <v>222</v>
      </c>
      <c r="B12" s="1" t="s">
        <v>1126</v>
      </c>
      <c r="C12" s="6" t="s">
        <v>223</v>
      </c>
      <c r="D12" s="3" t="str">
        <f t="shared" si="0"/>
        <v>204 皇普MVP</v>
      </c>
      <c r="E12" s="3" t="s">
        <v>224</v>
      </c>
      <c r="F12" s="2" t="s">
        <v>582</v>
      </c>
      <c r="G12" s="2" t="s">
        <v>583</v>
      </c>
      <c r="H12" s="14">
        <v>25</v>
      </c>
      <c r="I12" s="14">
        <v>26</v>
      </c>
      <c r="J12" s="14">
        <f t="shared" si="1"/>
        <v>25.5</v>
      </c>
      <c r="K12" s="2" t="s">
        <v>966</v>
      </c>
      <c r="L12" s="9" t="s">
        <v>965</v>
      </c>
      <c r="Q12" s="8">
        <v>0.8</v>
      </c>
      <c r="R12" s="2" t="s">
        <v>40</v>
      </c>
      <c r="S12" s="2" t="s">
        <v>584</v>
      </c>
      <c r="T12" s="2" t="s">
        <v>1008</v>
      </c>
      <c r="U12" s="2" t="s">
        <v>49</v>
      </c>
      <c r="V12" s="2" t="s">
        <v>585</v>
      </c>
      <c r="W12" s="10" t="s">
        <v>51</v>
      </c>
      <c r="X12" s="2" t="s">
        <v>770</v>
      </c>
      <c r="Y12" s="2" t="s">
        <v>52</v>
      </c>
      <c r="Z12" s="2" t="s">
        <v>586</v>
      </c>
      <c r="AA12" s="2" t="s">
        <v>587</v>
      </c>
      <c r="AB12" s="2" t="s">
        <v>588</v>
      </c>
      <c r="AC12" s="2" t="s">
        <v>589</v>
      </c>
      <c r="AD12" s="2" t="s">
        <v>1153</v>
      </c>
      <c r="AE12" s="2" t="s">
        <v>590</v>
      </c>
      <c r="AF12" s="2" t="s">
        <v>591</v>
      </c>
      <c r="AG12" s="2" t="s">
        <v>592</v>
      </c>
      <c r="AH12" s="7">
        <v>0.31859999999999999</v>
      </c>
      <c r="AI12" s="7">
        <v>0.31859999999999999</v>
      </c>
      <c r="AJ12" s="2" t="s">
        <v>593</v>
      </c>
      <c r="AK12" s="2">
        <v>308</v>
      </c>
      <c r="AL12" s="2">
        <v>13</v>
      </c>
      <c r="AM12" s="7">
        <v>0.47989999999999999</v>
      </c>
      <c r="AN12" s="7">
        <v>0.47989999999999999</v>
      </c>
      <c r="AO12" s="2" t="s">
        <v>556</v>
      </c>
      <c r="AP12" s="2">
        <v>15</v>
      </c>
      <c r="AQ12" s="7" t="s">
        <v>594</v>
      </c>
      <c r="AR12" s="2" t="s">
        <v>595</v>
      </c>
      <c r="AS12" s="1" t="s">
        <v>596</v>
      </c>
      <c r="AT12" s="15">
        <v>1</v>
      </c>
      <c r="AU12" s="2" t="s">
        <v>66</v>
      </c>
      <c r="AV12" s="2" t="s">
        <v>597</v>
      </c>
      <c r="AW12" s="22">
        <v>1390.39</v>
      </c>
      <c r="AX12" s="2" t="s">
        <v>68</v>
      </c>
      <c r="AY12" s="2" t="s">
        <v>598</v>
      </c>
      <c r="AZ12" s="2" t="s">
        <v>70</v>
      </c>
      <c r="BA12" s="2" t="s">
        <v>70</v>
      </c>
      <c r="BB12" s="2" t="s">
        <v>599</v>
      </c>
      <c r="BC12" s="2" t="s">
        <v>600</v>
      </c>
      <c r="BD12" s="2" t="s">
        <v>70</v>
      </c>
      <c r="BE12" s="2" t="s">
        <v>1137</v>
      </c>
    </row>
    <row r="13" spans="1:57">
      <c r="A13" s="1" t="s">
        <v>773</v>
      </c>
      <c r="B13" s="1" t="s">
        <v>1126</v>
      </c>
      <c r="C13" s="2" t="s">
        <v>225</v>
      </c>
      <c r="D13" s="3" t="str">
        <f t="shared" si="0"/>
        <v>205 富宇敦峰</v>
      </c>
      <c r="E13" s="3" t="s">
        <v>226</v>
      </c>
      <c r="F13" s="4" t="s">
        <v>227</v>
      </c>
      <c r="G13" s="2" t="s">
        <v>228</v>
      </c>
      <c r="H13" s="14">
        <v>30</v>
      </c>
      <c r="I13" s="14">
        <v>32</v>
      </c>
      <c r="J13" s="14">
        <f t="shared" si="1"/>
        <v>31</v>
      </c>
      <c r="K13" s="2" t="s">
        <v>964</v>
      </c>
      <c r="L13" s="9" t="s">
        <v>963</v>
      </c>
      <c r="N13" s="2" t="s">
        <v>229</v>
      </c>
      <c r="O13" s="13">
        <v>180</v>
      </c>
      <c r="P13" s="13">
        <v>195</v>
      </c>
      <c r="Q13" s="2" t="s">
        <v>47</v>
      </c>
      <c r="R13" s="2" t="s">
        <v>40</v>
      </c>
      <c r="S13" s="2" t="s">
        <v>79</v>
      </c>
      <c r="T13" s="2" t="s">
        <v>1004</v>
      </c>
      <c r="U13" s="2" t="s">
        <v>49</v>
      </c>
      <c r="V13" s="2" t="s">
        <v>230</v>
      </c>
      <c r="W13" s="2" t="s">
        <v>81</v>
      </c>
      <c r="X13" s="2" t="s">
        <v>770</v>
      </c>
      <c r="Y13" s="2" t="s">
        <v>52</v>
      </c>
      <c r="Z13" s="2" t="s">
        <v>231</v>
      </c>
      <c r="AA13" s="2" t="s">
        <v>232</v>
      </c>
      <c r="AB13" s="2" t="s">
        <v>167</v>
      </c>
      <c r="AC13" s="2" t="s">
        <v>168</v>
      </c>
      <c r="AD13" s="2" t="s">
        <v>168</v>
      </c>
      <c r="AE13" s="2" t="s">
        <v>233</v>
      </c>
      <c r="AF13" s="2" t="s">
        <v>234</v>
      </c>
      <c r="AG13" s="2" t="s">
        <v>235</v>
      </c>
      <c r="AH13" s="2" t="s">
        <v>236</v>
      </c>
      <c r="AI13" s="7">
        <v>0.33350000000000002</v>
      </c>
      <c r="AJ13" s="2" t="s">
        <v>237</v>
      </c>
      <c r="AK13" s="2">
        <v>441</v>
      </c>
      <c r="AL13" s="2">
        <v>7</v>
      </c>
      <c r="AM13" s="2" t="s">
        <v>238</v>
      </c>
      <c r="AN13" s="7">
        <v>0.43919999999999998</v>
      </c>
      <c r="AO13" s="2" t="s">
        <v>62</v>
      </c>
      <c r="AP13" s="2">
        <v>15</v>
      </c>
      <c r="AQ13" s="2" t="s">
        <v>239</v>
      </c>
      <c r="AR13" s="2" t="s">
        <v>201</v>
      </c>
      <c r="AS13" s="1" t="s">
        <v>240</v>
      </c>
      <c r="AT13" s="15">
        <v>1.04</v>
      </c>
      <c r="AU13" s="2" t="s">
        <v>66</v>
      </c>
      <c r="AV13" s="2" t="s">
        <v>241</v>
      </c>
      <c r="AW13" s="22">
        <v>2727.34</v>
      </c>
      <c r="AX13" s="2" t="s">
        <v>68</v>
      </c>
      <c r="AY13" s="2" t="s">
        <v>69</v>
      </c>
      <c r="AZ13" s="2" t="s">
        <v>70</v>
      </c>
      <c r="BA13" s="2" t="s">
        <v>70</v>
      </c>
      <c r="BB13" s="2" t="s">
        <v>242</v>
      </c>
      <c r="BC13" s="2" t="s">
        <v>182</v>
      </c>
      <c r="BD13" s="2" t="s">
        <v>70</v>
      </c>
      <c r="BE13" s="2" t="s">
        <v>1137</v>
      </c>
    </row>
    <row r="14" spans="1:57" ht="16">
      <c r="A14" s="1" t="s">
        <v>774</v>
      </c>
      <c r="B14" s="1" t="s">
        <v>1126</v>
      </c>
      <c r="C14" s="2" t="s">
        <v>243</v>
      </c>
      <c r="D14" s="3" t="str">
        <f t="shared" si="0"/>
        <v>206 玄泰V1</v>
      </c>
      <c r="E14" s="6" t="s">
        <v>244</v>
      </c>
      <c r="F14" s="4" t="s">
        <v>245</v>
      </c>
      <c r="G14" s="2" t="s">
        <v>246</v>
      </c>
      <c r="H14" s="14">
        <v>27</v>
      </c>
      <c r="I14" s="14">
        <v>29</v>
      </c>
      <c r="J14" s="14">
        <f t="shared" si="1"/>
        <v>28</v>
      </c>
      <c r="N14" s="2" t="s">
        <v>247</v>
      </c>
      <c r="O14" s="13">
        <v>155</v>
      </c>
      <c r="P14" s="13">
        <v>195</v>
      </c>
      <c r="Q14" s="2" t="s">
        <v>47</v>
      </c>
      <c r="R14" s="2" t="s">
        <v>40</v>
      </c>
      <c r="S14" s="2" t="s">
        <v>248</v>
      </c>
      <c r="T14" s="2" t="s">
        <v>1000</v>
      </c>
      <c r="U14" s="2" t="s">
        <v>49</v>
      </c>
      <c r="V14" s="2" t="s">
        <v>249</v>
      </c>
      <c r="W14" s="2" t="s">
        <v>51</v>
      </c>
      <c r="X14" s="2" t="s">
        <v>770</v>
      </c>
      <c r="Y14" s="2" t="s">
        <v>52</v>
      </c>
      <c r="Z14" s="2" t="s">
        <v>250</v>
      </c>
      <c r="AA14" s="2" t="s">
        <v>251</v>
      </c>
      <c r="AB14" s="2" t="s">
        <v>252</v>
      </c>
      <c r="AC14" s="2" t="s">
        <v>253</v>
      </c>
      <c r="AD14" s="2" t="s">
        <v>1157</v>
      </c>
      <c r="AE14" s="2" t="s">
        <v>254</v>
      </c>
      <c r="AF14" s="2" t="s">
        <v>255</v>
      </c>
      <c r="AG14" s="2" t="s">
        <v>256</v>
      </c>
      <c r="AH14" s="2" t="s">
        <v>257</v>
      </c>
      <c r="AI14" s="7">
        <v>0.31900000000000001</v>
      </c>
      <c r="AJ14" s="2" t="s">
        <v>258</v>
      </c>
      <c r="AK14" s="2">
        <v>138</v>
      </c>
      <c r="AL14" s="2">
        <v>8</v>
      </c>
      <c r="AM14" s="2" t="s">
        <v>259</v>
      </c>
      <c r="AN14" s="7">
        <v>0.60160000000000002</v>
      </c>
      <c r="AO14" s="2" t="s">
        <v>260</v>
      </c>
      <c r="AP14" s="2">
        <v>24</v>
      </c>
      <c r="AQ14" s="2" t="s">
        <v>261</v>
      </c>
      <c r="AR14" s="2" t="s">
        <v>90</v>
      </c>
      <c r="AS14" s="1" t="s">
        <v>262</v>
      </c>
      <c r="AT14" s="15">
        <v>1.05</v>
      </c>
      <c r="AU14" s="2" t="s">
        <v>66</v>
      </c>
      <c r="AV14" s="2" t="s">
        <v>263</v>
      </c>
      <c r="AW14" s="22">
        <v>911.52</v>
      </c>
      <c r="AX14" s="2" t="s">
        <v>68</v>
      </c>
      <c r="AY14" s="2" t="s">
        <v>264</v>
      </c>
      <c r="AZ14" s="2" t="s">
        <v>70</v>
      </c>
      <c r="BA14" s="2" t="s">
        <v>70</v>
      </c>
      <c r="BB14" s="2" t="s">
        <v>265</v>
      </c>
      <c r="BC14" s="2" t="s">
        <v>266</v>
      </c>
      <c r="BD14" s="2" t="s">
        <v>70</v>
      </c>
      <c r="BE14" s="2" t="s">
        <v>1137</v>
      </c>
    </row>
    <row r="15" spans="1:57" ht="16">
      <c r="A15" s="1" t="s">
        <v>787</v>
      </c>
      <c r="B15" s="1" t="s">
        <v>1126</v>
      </c>
      <c r="C15" s="2" t="s">
        <v>788</v>
      </c>
      <c r="D15" s="3" t="str">
        <f t="shared" si="0"/>
        <v>207 和耀恆美</v>
      </c>
      <c r="E15" s="6" t="s">
        <v>797</v>
      </c>
      <c r="F15" s="4" t="s">
        <v>830</v>
      </c>
      <c r="G15" s="2" t="s">
        <v>831</v>
      </c>
      <c r="H15" s="14">
        <v>28</v>
      </c>
      <c r="I15" s="14">
        <v>33</v>
      </c>
      <c r="J15" s="14">
        <f t="shared" si="1"/>
        <v>30.5</v>
      </c>
      <c r="N15" s="2" t="s">
        <v>832</v>
      </c>
      <c r="Q15" s="2" t="s">
        <v>47</v>
      </c>
      <c r="R15" s="2" t="s">
        <v>40</v>
      </c>
      <c r="S15" s="2" t="s">
        <v>833</v>
      </c>
      <c r="T15" s="2" t="s">
        <v>1014</v>
      </c>
      <c r="U15" s="2" t="s">
        <v>49</v>
      </c>
      <c r="V15" s="2" t="s">
        <v>834</v>
      </c>
      <c r="W15" s="2" t="s">
        <v>51</v>
      </c>
      <c r="X15" s="2" t="s">
        <v>770</v>
      </c>
      <c r="Y15" s="2" t="s">
        <v>52</v>
      </c>
      <c r="Z15" s="2" t="s">
        <v>835</v>
      </c>
      <c r="AA15" s="2" t="s">
        <v>836</v>
      </c>
      <c r="AB15" s="2" t="s">
        <v>837</v>
      </c>
      <c r="AC15" s="2" t="s">
        <v>838</v>
      </c>
      <c r="AD15" s="2" t="s">
        <v>1153</v>
      </c>
      <c r="AE15" s="2" t="s">
        <v>552</v>
      </c>
      <c r="AF15" s="2" t="s">
        <v>839</v>
      </c>
      <c r="AG15" s="2" t="s">
        <v>840</v>
      </c>
      <c r="AH15" s="2" t="s">
        <v>841</v>
      </c>
      <c r="AI15" s="7">
        <v>0.32250000000000001</v>
      </c>
      <c r="AJ15" s="2" t="s">
        <v>842</v>
      </c>
      <c r="AK15" s="2">
        <v>280</v>
      </c>
      <c r="AL15" s="2">
        <v>11</v>
      </c>
      <c r="AM15" s="7">
        <v>0.4743</v>
      </c>
      <c r="AN15" s="7">
        <v>0.4743</v>
      </c>
      <c r="AO15" s="2" t="s">
        <v>556</v>
      </c>
      <c r="AP15" s="2">
        <v>15</v>
      </c>
      <c r="AQ15" s="2" t="s">
        <v>843</v>
      </c>
      <c r="AR15" s="2" t="s">
        <v>90</v>
      </c>
      <c r="AS15" s="1" t="s">
        <v>617</v>
      </c>
      <c r="AT15" s="15">
        <v>1.01</v>
      </c>
      <c r="AU15" s="2" t="s">
        <v>66</v>
      </c>
      <c r="AV15" s="2" t="s">
        <v>844</v>
      </c>
      <c r="AW15" s="22">
        <v>1309.1400000000001</v>
      </c>
      <c r="AX15" s="2" t="s">
        <v>68</v>
      </c>
      <c r="AY15" s="2" t="s">
        <v>598</v>
      </c>
      <c r="BA15" s="2" t="s">
        <v>70</v>
      </c>
      <c r="BB15" s="2" t="s">
        <v>845</v>
      </c>
      <c r="BC15" s="2" t="s">
        <v>600</v>
      </c>
      <c r="BD15" s="2" t="s">
        <v>70</v>
      </c>
      <c r="BE15" s="2" t="s">
        <v>1137</v>
      </c>
    </row>
    <row r="16" spans="1:57">
      <c r="A16" s="1" t="s">
        <v>777</v>
      </c>
      <c r="B16" s="1" t="s">
        <v>1128</v>
      </c>
      <c r="C16" s="3" t="s">
        <v>288</v>
      </c>
      <c r="D16" s="3" t="str">
        <f t="shared" si="0"/>
        <v>301 允將大作</v>
      </c>
      <c r="E16" s="3" t="s">
        <v>289</v>
      </c>
      <c r="F16" s="9" t="s">
        <v>601</v>
      </c>
      <c r="G16" s="2" t="s">
        <v>602</v>
      </c>
      <c r="H16" s="14">
        <v>35</v>
      </c>
      <c r="I16" s="14">
        <v>38</v>
      </c>
      <c r="J16" s="14">
        <f t="shared" si="1"/>
        <v>36.5</v>
      </c>
      <c r="N16" s="2" t="s">
        <v>603</v>
      </c>
      <c r="O16" s="13">
        <v>140</v>
      </c>
      <c r="P16" s="13">
        <v>210</v>
      </c>
      <c r="Q16" s="2" t="s">
        <v>47</v>
      </c>
      <c r="R16" s="2" t="s">
        <v>40</v>
      </c>
      <c r="S16" s="2" t="s">
        <v>604</v>
      </c>
      <c r="T16" s="2" t="s">
        <v>1016</v>
      </c>
      <c r="U16" s="2" t="s">
        <v>49</v>
      </c>
      <c r="V16" s="2" t="s">
        <v>605</v>
      </c>
      <c r="W16" s="10" t="s">
        <v>51</v>
      </c>
      <c r="X16" s="2" t="s">
        <v>770</v>
      </c>
      <c r="Y16" s="2" t="s">
        <v>52</v>
      </c>
      <c r="Z16" s="2" t="s">
        <v>606</v>
      </c>
      <c r="AA16" s="2" t="s">
        <v>607</v>
      </c>
      <c r="AB16" s="2" t="s">
        <v>608</v>
      </c>
      <c r="AC16" s="2" t="s">
        <v>609</v>
      </c>
      <c r="AD16" s="2" t="s">
        <v>609</v>
      </c>
      <c r="AE16" s="2" t="s">
        <v>610</v>
      </c>
      <c r="AF16" s="2" t="s">
        <v>611</v>
      </c>
      <c r="AG16" s="2" t="s">
        <v>612</v>
      </c>
      <c r="AH16" s="7">
        <v>0.33800000000000002</v>
      </c>
      <c r="AI16" s="7">
        <v>0.33800000000000002</v>
      </c>
      <c r="AJ16" s="2" t="s">
        <v>613</v>
      </c>
      <c r="AK16" s="2">
        <v>530</v>
      </c>
      <c r="AL16" s="2">
        <v>5</v>
      </c>
      <c r="AM16" s="7">
        <v>0.45529999999999998</v>
      </c>
      <c r="AN16" s="7">
        <v>0.45529999999999998</v>
      </c>
      <c r="AO16" s="2" t="s">
        <v>614</v>
      </c>
      <c r="AP16" s="2">
        <v>31</v>
      </c>
      <c r="AQ16" s="7" t="s">
        <v>615</v>
      </c>
      <c r="AR16" s="2" t="s">
        <v>616</v>
      </c>
      <c r="AS16" s="1" t="s">
        <v>617</v>
      </c>
      <c r="AT16" s="15">
        <v>1.01</v>
      </c>
      <c r="AU16" s="2" t="s">
        <v>66</v>
      </c>
      <c r="AV16" s="2" t="s">
        <v>618</v>
      </c>
      <c r="AW16" s="22">
        <v>1554.48</v>
      </c>
      <c r="AX16" s="2" t="s">
        <v>68</v>
      </c>
      <c r="AY16" s="2" t="s">
        <v>619</v>
      </c>
      <c r="AZ16" s="2" t="s">
        <v>70</v>
      </c>
      <c r="BA16" s="2" t="s">
        <v>70</v>
      </c>
      <c r="BB16" s="2" t="s">
        <v>620</v>
      </c>
      <c r="BC16" s="2" t="s">
        <v>621</v>
      </c>
      <c r="BD16" s="2" t="s">
        <v>70</v>
      </c>
      <c r="BE16" s="2" t="s">
        <v>1137</v>
      </c>
    </row>
    <row r="17" spans="1:57">
      <c r="A17" s="1" t="s">
        <v>267</v>
      </c>
      <c r="B17" s="1" t="s">
        <v>1128</v>
      </c>
      <c r="C17" s="2" t="s">
        <v>290</v>
      </c>
      <c r="D17" s="3" t="str">
        <f t="shared" si="0"/>
        <v>302 欣時代</v>
      </c>
      <c r="E17" s="3" t="s">
        <v>291</v>
      </c>
      <c r="F17" s="4" t="s">
        <v>292</v>
      </c>
      <c r="G17" s="2" t="s">
        <v>246</v>
      </c>
      <c r="H17" s="14">
        <v>27</v>
      </c>
      <c r="I17" s="14">
        <v>29</v>
      </c>
      <c r="J17" s="14">
        <f t="shared" si="1"/>
        <v>28</v>
      </c>
      <c r="N17" s="2" t="s">
        <v>162</v>
      </c>
      <c r="O17" s="13">
        <v>170</v>
      </c>
      <c r="P17" s="13">
        <v>205</v>
      </c>
      <c r="Q17" s="2" t="s">
        <v>47</v>
      </c>
      <c r="R17" s="2" t="s">
        <v>40</v>
      </c>
      <c r="S17" s="2" t="s">
        <v>293</v>
      </c>
      <c r="T17" s="2" t="s">
        <v>1018</v>
      </c>
      <c r="U17" s="2" t="s">
        <v>49</v>
      </c>
      <c r="V17" s="2" t="s">
        <v>294</v>
      </c>
      <c r="W17" s="2" t="s">
        <v>51</v>
      </c>
      <c r="X17" s="2" t="s">
        <v>770</v>
      </c>
      <c r="Y17" s="2" t="s">
        <v>52</v>
      </c>
      <c r="Z17" s="2" t="s">
        <v>295</v>
      </c>
      <c r="AA17" s="2" t="s">
        <v>273</v>
      </c>
      <c r="AB17" s="2" t="s">
        <v>296</v>
      </c>
      <c r="AC17" s="3" t="s">
        <v>297</v>
      </c>
      <c r="AD17" s="3" t="s">
        <v>297</v>
      </c>
      <c r="AE17" s="2" t="s">
        <v>298</v>
      </c>
      <c r="AF17" s="2" t="s">
        <v>299</v>
      </c>
      <c r="AG17" s="2" t="s">
        <v>300</v>
      </c>
      <c r="AH17" s="2" t="s">
        <v>172</v>
      </c>
      <c r="AI17" s="7">
        <v>0.33500000000000002</v>
      </c>
      <c r="AJ17" s="2" t="s">
        <v>301</v>
      </c>
      <c r="AK17" s="2">
        <v>235</v>
      </c>
      <c r="AL17" s="2">
        <v>4</v>
      </c>
      <c r="AM17" s="2" t="s">
        <v>302</v>
      </c>
      <c r="AN17" s="7">
        <v>0.57489999999999997</v>
      </c>
      <c r="AO17" s="2" t="s">
        <v>303</v>
      </c>
      <c r="AP17" s="2">
        <v>30</v>
      </c>
      <c r="AQ17" s="2" t="s">
        <v>304</v>
      </c>
      <c r="AR17" s="2" t="s">
        <v>90</v>
      </c>
      <c r="AS17" s="1" t="s">
        <v>305</v>
      </c>
      <c r="AT17" s="15">
        <v>0.91</v>
      </c>
      <c r="AU17" s="2" t="s">
        <v>66</v>
      </c>
      <c r="AV17" s="2" t="s">
        <v>306</v>
      </c>
      <c r="AW17" s="22">
        <v>713.17</v>
      </c>
      <c r="AX17" s="2" t="s">
        <v>68</v>
      </c>
      <c r="AY17" s="2" t="s">
        <v>264</v>
      </c>
      <c r="AZ17" s="2" t="s">
        <v>70</v>
      </c>
      <c r="BA17" s="2" t="s">
        <v>70</v>
      </c>
      <c r="BB17" s="2" t="s">
        <v>307</v>
      </c>
      <c r="BC17" s="2" t="s">
        <v>308</v>
      </c>
      <c r="BD17" s="2" t="s">
        <v>70</v>
      </c>
      <c r="BE17" s="2" t="s">
        <v>1137</v>
      </c>
    </row>
    <row r="18" spans="1:57">
      <c r="A18" s="1" t="s">
        <v>778</v>
      </c>
      <c r="B18" s="1" t="s">
        <v>1128</v>
      </c>
      <c r="C18" s="2" t="s">
        <v>309</v>
      </c>
      <c r="D18" s="3" t="str">
        <f t="shared" si="0"/>
        <v>303 新潤翡麗</v>
      </c>
      <c r="E18" s="3" t="s">
        <v>310</v>
      </c>
      <c r="F18" s="4" t="s">
        <v>311</v>
      </c>
      <c r="G18" s="2" t="s">
        <v>121</v>
      </c>
      <c r="H18" s="14">
        <v>26</v>
      </c>
      <c r="I18" s="14">
        <v>28</v>
      </c>
      <c r="J18" s="14">
        <f t="shared" si="1"/>
        <v>27</v>
      </c>
      <c r="N18" s="2" t="s">
        <v>312</v>
      </c>
      <c r="O18" s="13">
        <v>160</v>
      </c>
      <c r="P18" s="13">
        <v>190</v>
      </c>
      <c r="Q18" s="2" t="s">
        <v>47</v>
      </c>
      <c r="R18" s="2" t="s">
        <v>40</v>
      </c>
      <c r="S18" s="2" t="s">
        <v>123</v>
      </c>
      <c r="T18" s="2" t="s">
        <v>1008</v>
      </c>
      <c r="U18" s="2" t="s">
        <v>49</v>
      </c>
      <c r="V18" s="2" t="s">
        <v>313</v>
      </c>
      <c r="W18" s="2" t="s">
        <v>51</v>
      </c>
      <c r="X18" s="2" t="s">
        <v>770</v>
      </c>
      <c r="Y18" s="2" t="s">
        <v>52</v>
      </c>
      <c r="Z18" s="2" t="s">
        <v>314</v>
      </c>
      <c r="AA18" s="2" t="s">
        <v>315</v>
      </c>
      <c r="AB18" s="2" t="s">
        <v>316</v>
      </c>
      <c r="AC18" s="2" t="s">
        <v>317</v>
      </c>
      <c r="AD18" s="2" t="s">
        <v>317</v>
      </c>
      <c r="AE18" s="2" t="s">
        <v>318</v>
      </c>
      <c r="AF18" s="2" t="s">
        <v>319</v>
      </c>
      <c r="AG18" s="2" t="s">
        <v>320</v>
      </c>
      <c r="AH18" s="2" t="s">
        <v>321</v>
      </c>
      <c r="AI18" s="7">
        <v>0.33750000000000002</v>
      </c>
      <c r="AJ18" s="2" t="s">
        <v>322</v>
      </c>
      <c r="AK18" s="2">
        <v>420</v>
      </c>
      <c r="AL18" s="2">
        <v>20</v>
      </c>
      <c r="AM18" s="2" t="s">
        <v>323</v>
      </c>
      <c r="AN18" s="7">
        <v>0.6502</v>
      </c>
      <c r="AO18" s="2" t="s">
        <v>260</v>
      </c>
      <c r="AP18" s="2">
        <v>24</v>
      </c>
      <c r="AQ18" s="2" t="s">
        <v>324</v>
      </c>
      <c r="AR18" s="2" t="s">
        <v>90</v>
      </c>
      <c r="AS18" s="1" t="s">
        <v>325</v>
      </c>
      <c r="AT18" s="15">
        <v>0.73</v>
      </c>
      <c r="AU18" s="2" t="s">
        <v>66</v>
      </c>
      <c r="AV18" s="2" t="s">
        <v>326</v>
      </c>
      <c r="AW18" s="22">
        <v>1083.97</v>
      </c>
      <c r="AX18" s="2" t="s">
        <v>68</v>
      </c>
      <c r="AY18" s="2" t="s">
        <v>264</v>
      </c>
      <c r="AZ18" s="2" t="s">
        <v>70</v>
      </c>
      <c r="BA18" s="2" t="s">
        <v>70</v>
      </c>
      <c r="BB18" s="2" t="s">
        <v>327</v>
      </c>
      <c r="BC18" s="2" t="s">
        <v>328</v>
      </c>
      <c r="BD18" s="2" t="s">
        <v>70</v>
      </c>
      <c r="BE18" s="2" t="s">
        <v>1137</v>
      </c>
    </row>
    <row r="19" spans="1:57">
      <c r="A19" s="1" t="s">
        <v>779</v>
      </c>
      <c r="B19" s="1" t="s">
        <v>1128</v>
      </c>
      <c r="C19" s="3" t="s">
        <v>366</v>
      </c>
      <c r="D19" s="3" t="str">
        <f t="shared" si="0"/>
        <v>304 新潤鉑麗</v>
      </c>
      <c r="E19" s="3" t="s">
        <v>367</v>
      </c>
      <c r="F19" s="9" t="s">
        <v>751</v>
      </c>
      <c r="G19" s="2" t="s">
        <v>752</v>
      </c>
      <c r="H19" s="14">
        <v>27</v>
      </c>
      <c r="I19" s="14">
        <v>29</v>
      </c>
      <c r="J19" s="14">
        <f t="shared" si="1"/>
        <v>28</v>
      </c>
      <c r="K19" s="2" t="s">
        <v>962</v>
      </c>
      <c r="L19" s="9" t="s">
        <v>961</v>
      </c>
      <c r="N19" s="2" t="s">
        <v>753</v>
      </c>
      <c r="O19" s="13">
        <v>165</v>
      </c>
      <c r="P19" s="13">
        <v>190</v>
      </c>
      <c r="Q19" s="2" t="s">
        <v>47</v>
      </c>
      <c r="R19" s="2" t="s">
        <v>40</v>
      </c>
      <c r="S19" s="2" t="s">
        <v>754</v>
      </c>
      <c r="T19" s="2" t="s">
        <v>1004</v>
      </c>
      <c r="U19" s="2" t="s">
        <v>49</v>
      </c>
      <c r="V19" s="2" t="s">
        <v>755</v>
      </c>
      <c r="W19" s="2" t="s">
        <v>81</v>
      </c>
      <c r="X19" s="2" t="s">
        <v>770</v>
      </c>
      <c r="Y19" s="2" t="s">
        <v>52</v>
      </c>
      <c r="Z19" s="2" t="s">
        <v>756</v>
      </c>
      <c r="AA19" s="2" t="s">
        <v>756</v>
      </c>
      <c r="AB19" s="2" t="s">
        <v>757</v>
      </c>
      <c r="AC19" s="2" t="s">
        <v>758</v>
      </c>
      <c r="AD19" s="2" t="s">
        <v>317</v>
      </c>
      <c r="AE19" s="2" t="s">
        <v>759</v>
      </c>
      <c r="AF19" s="2" t="s">
        <v>760</v>
      </c>
      <c r="AG19" s="2" t="s">
        <v>761</v>
      </c>
      <c r="AH19" s="7">
        <v>0.33500000000000002</v>
      </c>
      <c r="AI19" s="7">
        <v>0.33500000000000002</v>
      </c>
      <c r="AJ19" s="2" t="s">
        <v>762</v>
      </c>
      <c r="AK19" s="2">
        <v>266</v>
      </c>
      <c r="AL19" s="2">
        <v>13</v>
      </c>
      <c r="AM19" s="7">
        <v>0.59850000000000003</v>
      </c>
      <c r="AN19" s="7">
        <v>0.59850000000000003</v>
      </c>
      <c r="AO19" s="2" t="s">
        <v>556</v>
      </c>
      <c r="AP19" s="2">
        <v>15</v>
      </c>
      <c r="AQ19" s="7" t="s">
        <v>763</v>
      </c>
      <c r="AR19" s="2" t="s">
        <v>616</v>
      </c>
      <c r="AS19" s="1" t="s">
        <v>578</v>
      </c>
      <c r="AT19" s="15">
        <v>0.87</v>
      </c>
      <c r="AU19" s="2" t="s">
        <v>66</v>
      </c>
      <c r="AV19" s="2" t="s">
        <v>764</v>
      </c>
      <c r="AW19" s="22">
        <v>1137.47</v>
      </c>
      <c r="AX19" s="2" t="s">
        <v>68</v>
      </c>
      <c r="AY19" s="2" t="s">
        <v>363</v>
      </c>
      <c r="AZ19" s="2" t="s">
        <v>70</v>
      </c>
      <c r="BA19" s="2" t="s">
        <v>70</v>
      </c>
      <c r="BB19" s="2" t="s">
        <v>765</v>
      </c>
      <c r="BC19" s="2" t="s">
        <v>766</v>
      </c>
      <c r="BD19" s="2" t="s">
        <v>767</v>
      </c>
      <c r="BE19" s="2" t="s">
        <v>1137</v>
      </c>
    </row>
    <row r="20" spans="1:57">
      <c r="A20" s="1" t="s">
        <v>780</v>
      </c>
      <c r="B20" s="1" t="s">
        <v>1128</v>
      </c>
      <c r="C20" s="2" t="s">
        <v>350</v>
      </c>
      <c r="D20" s="3" t="str">
        <f t="shared" si="0"/>
        <v>305 根津苑</v>
      </c>
      <c r="E20" s="3" t="s">
        <v>351</v>
      </c>
      <c r="F20" s="4" t="s">
        <v>352</v>
      </c>
      <c r="G20" s="2" t="s">
        <v>353</v>
      </c>
      <c r="H20" s="14">
        <v>24</v>
      </c>
      <c r="I20" s="14">
        <v>26</v>
      </c>
      <c r="J20" s="14">
        <f t="shared" si="1"/>
        <v>25</v>
      </c>
      <c r="K20" s="2" t="s">
        <v>960</v>
      </c>
      <c r="L20" s="9" t="s">
        <v>959</v>
      </c>
      <c r="N20" s="2" t="s">
        <v>312</v>
      </c>
      <c r="O20" s="13">
        <v>160</v>
      </c>
      <c r="P20" s="13">
        <v>190</v>
      </c>
      <c r="Q20" s="2" t="s">
        <v>47</v>
      </c>
      <c r="R20" s="2" t="s">
        <v>40</v>
      </c>
      <c r="S20" s="2" t="s">
        <v>79</v>
      </c>
      <c r="T20" s="2" t="s">
        <v>1004</v>
      </c>
      <c r="U20" s="2" t="s">
        <v>49</v>
      </c>
      <c r="V20" s="2" t="s">
        <v>354</v>
      </c>
      <c r="W20" s="2" t="s">
        <v>81</v>
      </c>
      <c r="X20" s="2" t="s">
        <v>770</v>
      </c>
      <c r="Y20" s="2" t="s">
        <v>52</v>
      </c>
      <c r="Z20" s="2" t="s">
        <v>355</v>
      </c>
      <c r="AA20" s="2" t="s">
        <v>356</v>
      </c>
      <c r="AB20" s="2" t="s">
        <v>357</v>
      </c>
      <c r="AC20" s="2" t="s">
        <v>358</v>
      </c>
      <c r="AD20" s="2" t="s">
        <v>1153</v>
      </c>
      <c r="AE20" s="2" t="s">
        <v>56</v>
      </c>
      <c r="AF20" s="2" t="s">
        <v>359</v>
      </c>
      <c r="AG20" s="2" t="s">
        <v>85</v>
      </c>
      <c r="AH20" s="2" t="s">
        <v>59</v>
      </c>
      <c r="AI20" s="7">
        <v>0.32</v>
      </c>
      <c r="AJ20" s="2" t="s">
        <v>360</v>
      </c>
      <c r="AK20" s="2">
        <v>225</v>
      </c>
      <c r="AL20" s="2">
        <v>3</v>
      </c>
      <c r="AM20" s="2" t="s">
        <v>361</v>
      </c>
      <c r="AN20" s="7">
        <v>0.50539999999999996</v>
      </c>
      <c r="AO20" s="2" t="s">
        <v>153</v>
      </c>
      <c r="AP20" s="2">
        <v>15</v>
      </c>
      <c r="AQ20" s="2" t="s">
        <v>362</v>
      </c>
      <c r="AR20" s="2" t="s">
        <v>90</v>
      </c>
      <c r="AS20" s="1" t="s">
        <v>596</v>
      </c>
      <c r="AT20" s="15">
        <v>1</v>
      </c>
      <c r="AU20" s="2" t="s">
        <v>66</v>
      </c>
      <c r="AV20" s="2" t="s">
        <v>91</v>
      </c>
      <c r="AW20" s="22">
        <v>1848.44</v>
      </c>
      <c r="AX20" s="2" t="s">
        <v>68</v>
      </c>
      <c r="AY20" s="2" t="s">
        <v>363</v>
      </c>
      <c r="AZ20" s="2" t="s">
        <v>70</v>
      </c>
      <c r="BA20" s="2" t="s">
        <v>70</v>
      </c>
      <c r="BB20" s="2" t="s">
        <v>364</v>
      </c>
      <c r="BC20" s="2" t="s">
        <v>72</v>
      </c>
      <c r="BD20" s="2" t="s">
        <v>70</v>
      </c>
      <c r="BE20" s="2" t="s">
        <v>1137</v>
      </c>
    </row>
    <row r="21" spans="1:57">
      <c r="A21" s="1" t="s">
        <v>329</v>
      </c>
      <c r="B21" s="1" t="s">
        <v>1128</v>
      </c>
      <c r="C21" s="3" t="s">
        <v>347</v>
      </c>
      <c r="D21" s="3" t="str">
        <f t="shared" si="0"/>
        <v>306 華悅城</v>
      </c>
      <c r="E21" s="3" t="s">
        <v>348</v>
      </c>
      <c r="F21" s="9" t="s">
        <v>734</v>
      </c>
      <c r="G21" s="2" t="s">
        <v>735</v>
      </c>
      <c r="H21" s="14">
        <v>26</v>
      </c>
      <c r="I21" s="14">
        <v>30</v>
      </c>
      <c r="J21" s="14">
        <f t="shared" si="1"/>
        <v>28</v>
      </c>
      <c r="N21" s="2" t="s">
        <v>736</v>
      </c>
      <c r="O21" s="13">
        <v>150</v>
      </c>
      <c r="P21" s="13">
        <v>195</v>
      </c>
      <c r="Q21" s="2" t="s">
        <v>47</v>
      </c>
      <c r="R21" s="2" t="s">
        <v>40</v>
      </c>
      <c r="S21" s="2" t="s">
        <v>704</v>
      </c>
      <c r="T21" s="2" t="s">
        <v>1008</v>
      </c>
      <c r="U21" s="2" t="s">
        <v>49</v>
      </c>
      <c r="V21" s="2" t="s">
        <v>737</v>
      </c>
      <c r="W21" s="10" t="s">
        <v>51</v>
      </c>
      <c r="X21" s="2" t="s">
        <v>770</v>
      </c>
      <c r="Y21" s="2" t="s">
        <v>52</v>
      </c>
      <c r="Z21" s="2" t="s">
        <v>738</v>
      </c>
      <c r="AA21" s="2" t="s">
        <v>586</v>
      </c>
      <c r="AB21" s="2" t="s">
        <v>739</v>
      </c>
      <c r="AC21" s="2" t="s">
        <v>740</v>
      </c>
      <c r="AD21" s="2" t="s">
        <v>740</v>
      </c>
      <c r="AE21" s="2" t="s">
        <v>741</v>
      </c>
      <c r="AF21" s="2" t="s">
        <v>742</v>
      </c>
      <c r="AG21" s="2" t="s">
        <v>743</v>
      </c>
      <c r="AH21" s="8">
        <v>0.34</v>
      </c>
      <c r="AI21" s="7">
        <v>0.34</v>
      </c>
      <c r="AJ21" s="2" t="s">
        <v>744</v>
      </c>
      <c r="AK21" s="2">
        <v>776</v>
      </c>
      <c r="AL21" s="2">
        <v>8</v>
      </c>
      <c r="AM21" s="7">
        <v>0.44359999999999999</v>
      </c>
      <c r="AN21" s="7">
        <v>0.44359999999999999</v>
      </c>
      <c r="AO21" s="2" t="s">
        <v>745</v>
      </c>
      <c r="AP21" s="2">
        <v>18</v>
      </c>
      <c r="AQ21" s="2" t="s">
        <v>746</v>
      </c>
      <c r="AR21" s="2" t="s">
        <v>90</v>
      </c>
      <c r="AS21" s="1" t="s">
        <v>747</v>
      </c>
      <c r="AT21" s="15">
        <v>0.9</v>
      </c>
      <c r="AU21" s="2" t="s">
        <v>66</v>
      </c>
      <c r="AV21" s="2" t="s">
        <v>748</v>
      </c>
      <c r="AW21" s="22">
        <v>2751.33</v>
      </c>
      <c r="AX21" s="2" t="s">
        <v>68</v>
      </c>
      <c r="AY21" s="2" t="s">
        <v>598</v>
      </c>
      <c r="AZ21" s="2" t="s">
        <v>70</v>
      </c>
      <c r="BA21" s="2" t="s">
        <v>70</v>
      </c>
      <c r="BB21" s="2" t="s">
        <v>749</v>
      </c>
      <c r="BC21" s="2" t="s">
        <v>750</v>
      </c>
      <c r="BD21" s="2" t="s">
        <v>70</v>
      </c>
      <c r="BE21" s="2" t="s">
        <v>1137</v>
      </c>
    </row>
    <row r="22" spans="1:57">
      <c r="A22" s="1" t="s">
        <v>346</v>
      </c>
      <c r="B22" s="1" t="s">
        <v>1128</v>
      </c>
      <c r="C22" s="2" t="s">
        <v>958</v>
      </c>
      <c r="D22" s="3" t="str">
        <f t="shared" si="0"/>
        <v>307 富宇悅峰</v>
      </c>
      <c r="E22" s="3" t="s">
        <v>771</v>
      </c>
      <c r="F22" s="4" t="s">
        <v>368</v>
      </c>
      <c r="G22" s="2" t="s">
        <v>369</v>
      </c>
      <c r="H22" s="14">
        <v>28</v>
      </c>
      <c r="I22" s="14">
        <v>32</v>
      </c>
      <c r="J22" s="14">
        <f t="shared" si="1"/>
        <v>30</v>
      </c>
      <c r="N22" s="2" t="s">
        <v>370</v>
      </c>
      <c r="O22" s="13">
        <v>175</v>
      </c>
      <c r="P22" s="13">
        <v>195</v>
      </c>
      <c r="Q22" s="2" t="s">
        <v>47</v>
      </c>
      <c r="R22" s="2" t="s">
        <v>40</v>
      </c>
      <c r="S22" s="2" t="s">
        <v>48</v>
      </c>
      <c r="T22" s="2" t="s">
        <v>1002</v>
      </c>
      <c r="U22" s="2" t="s">
        <v>49</v>
      </c>
      <c r="V22" s="2" t="s">
        <v>371</v>
      </c>
      <c r="W22" s="2" t="s">
        <v>51</v>
      </c>
      <c r="X22" s="2" t="s">
        <v>770</v>
      </c>
      <c r="Y22" s="2" t="s">
        <v>372</v>
      </c>
      <c r="Z22" s="2" t="s">
        <v>373</v>
      </c>
      <c r="AA22" s="2" t="s">
        <v>374</v>
      </c>
      <c r="AB22" s="2" t="s">
        <v>167</v>
      </c>
      <c r="AC22" s="2" t="s">
        <v>168</v>
      </c>
      <c r="AD22" s="2" t="s">
        <v>168</v>
      </c>
      <c r="AE22" s="2" t="s">
        <v>169</v>
      </c>
      <c r="AF22" s="2" t="s">
        <v>375</v>
      </c>
      <c r="AG22" s="2" t="s">
        <v>215</v>
      </c>
      <c r="AH22" s="2" t="s">
        <v>376</v>
      </c>
      <c r="AI22" s="7">
        <v>0.36799999999999999</v>
      </c>
      <c r="AJ22" s="2" t="s">
        <v>377</v>
      </c>
      <c r="AK22" s="2">
        <v>264</v>
      </c>
      <c r="AL22" s="2">
        <v>0</v>
      </c>
      <c r="AM22" s="2" t="s">
        <v>378</v>
      </c>
      <c r="AN22" s="7">
        <v>0.40210000000000001</v>
      </c>
      <c r="AO22" s="2" t="s">
        <v>379</v>
      </c>
      <c r="AP22" s="2">
        <v>14</v>
      </c>
      <c r="AQ22" s="2" t="s">
        <v>380</v>
      </c>
      <c r="AR22" s="2" t="s">
        <v>381</v>
      </c>
      <c r="AS22" s="1" t="s">
        <v>382</v>
      </c>
      <c r="AT22" s="15">
        <v>0.86</v>
      </c>
      <c r="AU22" s="2" t="s">
        <v>66</v>
      </c>
      <c r="AV22" s="2" t="s">
        <v>383</v>
      </c>
      <c r="AW22" s="22">
        <v>1266.01</v>
      </c>
      <c r="AX22" s="2" t="s">
        <v>68</v>
      </c>
      <c r="AY22" s="2" t="s">
        <v>363</v>
      </c>
      <c r="AZ22" s="2" t="s">
        <v>70</v>
      </c>
      <c r="BA22" s="2" t="s">
        <v>70</v>
      </c>
      <c r="BB22" s="2" t="s">
        <v>384</v>
      </c>
      <c r="BC22" s="2" t="s">
        <v>385</v>
      </c>
      <c r="BD22" s="2" t="s">
        <v>70</v>
      </c>
      <c r="BE22" s="2" t="s">
        <v>1138</v>
      </c>
    </row>
    <row r="23" spans="1:57">
      <c r="A23" s="1" t="s">
        <v>349</v>
      </c>
      <c r="B23" s="1" t="s">
        <v>1128</v>
      </c>
      <c r="C23" s="2" t="s">
        <v>386</v>
      </c>
      <c r="D23" s="3" t="str">
        <f t="shared" si="0"/>
        <v>308 合遠新天地</v>
      </c>
      <c r="E23" s="2" t="s">
        <v>387</v>
      </c>
      <c r="G23" s="2" t="s">
        <v>353</v>
      </c>
      <c r="H23" s="14">
        <v>24</v>
      </c>
      <c r="I23" s="14">
        <v>26</v>
      </c>
      <c r="J23" s="14">
        <f t="shared" si="1"/>
        <v>25</v>
      </c>
      <c r="N23" s="2" t="s">
        <v>388</v>
      </c>
      <c r="O23" s="13">
        <v>165</v>
      </c>
      <c r="P23" s="13">
        <v>185</v>
      </c>
      <c r="Q23" s="2" t="s">
        <v>47</v>
      </c>
      <c r="R23" s="2" t="s">
        <v>389</v>
      </c>
      <c r="S23" s="2" t="s">
        <v>79</v>
      </c>
      <c r="T23" s="2" t="s">
        <v>1004</v>
      </c>
      <c r="U23" s="2" t="s">
        <v>49</v>
      </c>
      <c r="V23" s="2" t="s">
        <v>390</v>
      </c>
      <c r="W23" s="2" t="s">
        <v>81</v>
      </c>
      <c r="X23" s="2" t="s">
        <v>770</v>
      </c>
      <c r="Y23" s="2" t="s">
        <v>52</v>
      </c>
      <c r="Z23" s="2" t="s">
        <v>391</v>
      </c>
      <c r="AA23" s="2" t="s">
        <v>391</v>
      </c>
      <c r="AB23" s="2" t="s">
        <v>392</v>
      </c>
      <c r="AC23" s="2" t="s">
        <v>393</v>
      </c>
      <c r="AD23" s="2" t="s">
        <v>1153</v>
      </c>
      <c r="AE23" s="2" t="s">
        <v>56</v>
      </c>
      <c r="AF23" s="2" t="s">
        <v>394</v>
      </c>
      <c r="AG23" s="2" t="s">
        <v>105</v>
      </c>
      <c r="AH23" s="2" t="s">
        <v>132</v>
      </c>
      <c r="AI23" s="7">
        <v>0.315</v>
      </c>
      <c r="AJ23" s="2" t="s">
        <v>395</v>
      </c>
      <c r="AK23" s="2">
        <v>112</v>
      </c>
      <c r="AL23" s="2">
        <v>4</v>
      </c>
      <c r="AM23" s="2" t="s">
        <v>396</v>
      </c>
      <c r="AN23" s="7">
        <v>0.3397</v>
      </c>
      <c r="AO23" s="2" t="s">
        <v>153</v>
      </c>
      <c r="AP23" s="2">
        <v>15</v>
      </c>
      <c r="AQ23" s="2" t="s">
        <v>397</v>
      </c>
      <c r="AR23" s="2" t="s">
        <v>90</v>
      </c>
      <c r="AS23" s="1" t="s">
        <v>202</v>
      </c>
      <c r="AT23" s="15">
        <v>1.02</v>
      </c>
      <c r="AU23" s="2" t="s">
        <v>66</v>
      </c>
      <c r="AV23" s="2" t="s">
        <v>398</v>
      </c>
      <c r="AW23" s="22">
        <v>642.91999999999996</v>
      </c>
      <c r="AX23" s="2" t="s">
        <v>68</v>
      </c>
      <c r="AY23" s="2" t="s">
        <v>363</v>
      </c>
      <c r="AZ23" s="2" t="s">
        <v>70</v>
      </c>
      <c r="BA23" s="2" t="s">
        <v>70</v>
      </c>
      <c r="BB23" s="2" t="s">
        <v>399</v>
      </c>
      <c r="BC23" s="2" t="s">
        <v>287</v>
      </c>
      <c r="BD23" s="2" t="s">
        <v>70</v>
      </c>
      <c r="BE23" s="2" t="s">
        <v>1138</v>
      </c>
    </row>
    <row r="24" spans="1:57">
      <c r="A24" s="1" t="s">
        <v>365</v>
      </c>
      <c r="B24" s="1" t="s">
        <v>1128</v>
      </c>
      <c r="C24" s="2" t="s">
        <v>423</v>
      </c>
      <c r="D24" s="3" t="str">
        <f t="shared" si="0"/>
        <v>309 友文化</v>
      </c>
      <c r="E24" s="3" t="s">
        <v>424</v>
      </c>
      <c r="F24" s="9" t="s">
        <v>623</v>
      </c>
      <c r="G24" s="2" t="s">
        <v>622</v>
      </c>
      <c r="H24" s="14">
        <v>30</v>
      </c>
      <c r="I24" s="14">
        <v>31</v>
      </c>
      <c r="J24" s="14">
        <f t="shared" si="1"/>
        <v>30.5</v>
      </c>
      <c r="K24" s="2" t="s">
        <v>957</v>
      </c>
      <c r="L24" s="9" t="s">
        <v>956</v>
      </c>
      <c r="N24" s="2" t="s">
        <v>624</v>
      </c>
      <c r="O24" s="13">
        <v>195</v>
      </c>
      <c r="P24" s="13">
        <v>215</v>
      </c>
      <c r="Q24" s="2" t="s">
        <v>47</v>
      </c>
      <c r="R24" s="2" t="s">
        <v>40</v>
      </c>
      <c r="S24" s="2" t="s">
        <v>565</v>
      </c>
      <c r="T24" s="2" t="s">
        <v>1006</v>
      </c>
      <c r="U24" s="2" t="s">
        <v>49</v>
      </c>
      <c r="V24" s="2" t="s">
        <v>625</v>
      </c>
      <c r="W24" s="2" t="s">
        <v>407</v>
      </c>
      <c r="X24" s="2" t="s">
        <v>770</v>
      </c>
      <c r="Y24" s="2" t="s">
        <v>52</v>
      </c>
      <c r="Z24" s="2" t="s">
        <v>626</v>
      </c>
      <c r="AA24" s="2" t="s">
        <v>627</v>
      </c>
      <c r="AB24" s="2" t="s">
        <v>628</v>
      </c>
      <c r="AC24" s="2" t="s">
        <v>629</v>
      </c>
      <c r="AD24" s="2" t="s">
        <v>1153</v>
      </c>
      <c r="AE24" s="2" t="s">
        <v>552</v>
      </c>
      <c r="AF24" s="2" t="s">
        <v>630</v>
      </c>
      <c r="AG24" s="2" t="s">
        <v>631</v>
      </c>
      <c r="AH24" s="8">
        <v>0.32</v>
      </c>
      <c r="AI24" s="7">
        <v>0.32</v>
      </c>
      <c r="AJ24" s="2" t="s">
        <v>632</v>
      </c>
      <c r="AK24" s="2">
        <v>305</v>
      </c>
      <c r="AL24" s="2">
        <v>0</v>
      </c>
      <c r="AM24" s="7">
        <v>0.44209999999999999</v>
      </c>
      <c r="AN24" s="7">
        <v>0.44209999999999999</v>
      </c>
      <c r="AO24" s="2" t="s">
        <v>556</v>
      </c>
      <c r="AP24" s="2">
        <v>15</v>
      </c>
      <c r="AQ24" s="2" t="s">
        <v>633</v>
      </c>
      <c r="AR24" s="2" t="s">
        <v>595</v>
      </c>
      <c r="AS24" s="1" t="s">
        <v>596</v>
      </c>
      <c r="AT24" s="15">
        <v>1</v>
      </c>
      <c r="AU24" s="2" t="s">
        <v>66</v>
      </c>
      <c r="AV24" s="2" t="s">
        <v>634</v>
      </c>
      <c r="AW24" s="22">
        <v>1426.7</v>
      </c>
      <c r="AX24" s="2" t="s">
        <v>68</v>
      </c>
      <c r="AY24" s="2" t="s">
        <v>598</v>
      </c>
      <c r="AZ24" s="2" t="s">
        <v>70</v>
      </c>
      <c r="BA24" s="2" t="s">
        <v>70</v>
      </c>
      <c r="BB24" s="2" t="s">
        <v>635</v>
      </c>
      <c r="BC24" s="2" t="s">
        <v>636</v>
      </c>
      <c r="BD24" s="2" t="s">
        <v>70</v>
      </c>
      <c r="BE24" s="2" t="s">
        <v>1138</v>
      </c>
    </row>
    <row r="25" spans="1:57">
      <c r="A25" s="1" t="s">
        <v>789</v>
      </c>
      <c r="B25" s="1" t="s">
        <v>1128</v>
      </c>
      <c r="C25" s="2" t="s">
        <v>790</v>
      </c>
      <c r="D25" s="3" t="str">
        <f t="shared" si="0"/>
        <v>310 水悅青青</v>
      </c>
      <c r="E25" s="3" t="s">
        <v>868</v>
      </c>
      <c r="F25" s="9" t="s">
        <v>815</v>
      </c>
      <c r="G25" s="2" t="s">
        <v>816</v>
      </c>
      <c r="H25" s="14">
        <v>29</v>
      </c>
      <c r="I25" s="14">
        <v>31</v>
      </c>
      <c r="J25" s="14">
        <f t="shared" si="1"/>
        <v>30</v>
      </c>
      <c r="N25" s="2" t="s">
        <v>817</v>
      </c>
      <c r="O25" s="13">
        <v>190</v>
      </c>
      <c r="P25" s="13">
        <v>210</v>
      </c>
      <c r="Q25" s="2" t="s">
        <v>47</v>
      </c>
      <c r="R25" s="2" t="s">
        <v>40</v>
      </c>
      <c r="S25" s="2" t="s">
        <v>584</v>
      </c>
      <c r="T25" s="2" t="s">
        <v>1008</v>
      </c>
      <c r="U25" s="2" t="s">
        <v>49</v>
      </c>
      <c r="V25" s="2" t="s">
        <v>818</v>
      </c>
      <c r="W25" s="2" t="s">
        <v>407</v>
      </c>
      <c r="X25" s="2" t="s">
        <v>770</v>
      </c>
      <c r="Y25" s="2" t="s">
        <v>52</v>
      </c>
      <c r="Z25" s="2" t="s">
        <v>819</v>
      </c>
      <c r="AA25" s="2" t="s">
        <v>820</v>
      </c>
      <c r="AB25" s="2" t="s">
        <v>821</v>
      </c>
      <c r="AC25" s="2" t="s">
        <v>822</v>
      </c>
      <c r="AD25" s="2" t="s">
        <v>1153</v>
      </c>
      <c r="AE25" s="2" t="s">
        <v>552</v>
      </c>
      <c r="AF25" s="2" t="s">
        <v>823</v>
      </c>
      <c r="AG25" s="2" t="s">
        <v>824</v>
      </c>
      <c r="AH25" s="8">
        <v>0.32</v>
      </c>
      <c r="AI25" s="7">
        <v>0.32</v>
      </c>
      <c r="AJ25" s="2" t="s">
        <v>825</v>
      </c>
      <c r="AK25" s="2">
        <v>204</v>
      </c>
      <c r="AL25" s="2">
        <v>7</v>
      </c>
      <c r="AM25" s="7">
        <v>0.55610000000000004</v>
      </c>
      <c r="AN25" s="7">
        <v>0.55610000000000004</v>
      </c>
      <c r="AO25" s="2" t="s">
        <v>826</v>
      </c>
      <c r="AP25" s="2">
        <v>14</v>
      </c>
      <c r="AQ25" s="2" t="s">
        <v>827</v>
      </c>
      <c r="AR25" s="2" t="s">
        <v>90</v>
      </c>
      <c r="AS25" s="1" t="s">
        <v>596</v>
      </c>
      <c r="AT25" s="15">
        <v>1</v>
      </c>
      <c r="AU25" s="2" t="s">
        <v>66</v>
      </c>
      <c r="AV25" s="2" t="s">
        <v>828</v>
      </c>
      <c r="AW25" s="22">
        <v>910.52</v>
      </c>
      <c r="AX25" s="2" t="s">
        <v>68</v>
      </c>
      <c r="AY25" s="2" t="s">
        <v>598</v>
      </c>
      <c r="BA25" s="2" t="s">
        <v>70</v>
      </c>
      <c r="BB25" s="2" t="s">
        <v>829</v>
      </c>
      <c r="BC25" s="2" t="s">
        <v>600</v>
      </c>
      <c r="BD25" s="2" t="s">
        <v>70</v>
      </c>
      <c r="BE25" s="2" t="s">
        <v>1137</v>
      </c>
    </row>
    <row r="26" spans="1:57">
      <c r="A26" s="1" t="s">
        <v>791</v>
      </c>
      <c r="B26" s="1" t="s">
        <v>1128</v>
      </c>
      <c r="C26" s="2" t="s">
        <v>792</v>
      </c>
      <c r="D26" s="3" t="str">
        <f t="shared" si="0"/>
        <v>311 文華天際</v>
      </c>
      <c r="E26" s="3" t="s">
        <v>934</v>
      </c>
      <c r="F26" s="9" t="s">
        <v>800</v>
      </c>
      <c r="G26" s="2" t="s">
        <v>801</v>
      </c>
      <c r="H26" s="14">
        <v>27</v>
      </c>
      <c r="I26" s="14">
        <v>27</v>
      </c>
      <c r="J26" s="14">
        <f t="shared" si="1"/>
        <v>27</v>
      </c>
      <c r="N26" s="2" t="s">
        <v>802</v>
      </c>
      <c r="O26" s="13">
        <v>115</v>
      </c>
      <c r="P26" s="13">
        <v>217</v>
      </c>
      <c r="Q26" s="2" t="s">
        <v>47</v>
      </c>
      <c r="R26" s="2" t="s">
        <v>803</v>
      </c>
      <c r="S26" s="2" t="s">
        <v>804</v>
      </c>
      <c r="U26" s="2" t="s">
        <v>49</v>
      </c>
      <c r="V26" s="2" t="s">
        <v>805</v>
      </c>
      <c r="W26" s="2" t="s">
        <v>407</v>
      </c>
      <c r="X26" s="2" t="s">
        <v>770</v>
      </c>
      <c r="Y26" s="2" t="s">
        <v>52</v>
      </c>
      <c r="Z26" s="2" t="s">
        <v>806</v>
      </c>
      <c r="AA26" s="2" t="s">
        <v>807</v>
      </c>
      <c r="AB26" s="2" t="s">
        <v>628</v>
      </c>
      <c r="AC26" s="2" t="s">
        <v>629</v>
      </c>
      <c r="AD26" s="2" t="s">
        <v>1153</v>
      </c>
      <c r="AE26" s="2" t="s">
        <v>552</v>
      </c>
      <c r="AF26" s="2" t="s">
        <v>808</v>
      </c>
      <c r="AG26" s="2" t="s">
        <v>809</v>
      </c>
      <c r="AH26" s="8">
        <v>0.32500000000000001</v>
      </c>
      <c r="AI26" s="7">
        <v>0.33</v>
      </c>
      <c r="AJ26" s="2" t="s">
        <v>810</v>
      </c>
      <c r="AK26" s="2">
        <v>478</v>
      </c>
      <c r="AL26" s="2">
        <v>8</v>
      </c>
      <c r="AM26" s="7">
        <v>0.3347</v>
      </c>
      <c r="AN26" s="7">
        <v>0.3347</v>
      </c>
      <c r="AO26" s="2" t="s">
        <v>663</v>
      </c>
      <c r="AP26" s="2">
        <v>22</v>
      </c>
      <c r="AQ26" s="2" t="s">
        <v>811</v>
      </c>
      <c r="AR26" s="2" t="s">
        <v>90</v>
      </c>
      <c r="AS26" s="1" t="s">
        <v>596</v>
      </c>
      <c r="AT26" s="15">
        <v>1</v>
      </c>
      <c r="AU26" s="2" t="s">
        <v>66</v>
      </c>
      <c r="AV26" s="2" t="s">
        <v>812</v>
      </c>
      <c r="AW26" s="22">
        <v>1998.07</v>
      </c>
      <c r="AX26" s="2" t="s">
        <v>68</v>
      </c>
      <c r="AY26" s="2" t="s">
        <v>598</v>
      </c>
      <c r="BA26" s="2" t="s">
        <v>70</v>
      </c>
      <c r="BB26" s="2" t="s">
        <v>813</v>
      </c>
      <c r="BC26" s="2" t="s">
        <v>636</v>
      </c>
      <c r="BD26" s="2" t="s">
        <v>814</v>
      </c>
      <c r="BE26" s="2" t="s">
        <v>1138</v>
      </c>
    </row>
    <row r="27" spans="1:57">
      <c r="A27" s="1" t="s">
        <v>775</v>
      </c>
      <c r="B27" s="1" t="s">
        <v>1130</v>
      </c>
      <c r="C27" s="2" t="s">
        <v>268</v>
      </c>
      <c r="D27" s="3" t="str">
        <f t="shared" si="0"/>
        <v>401 竹城甲子園</v>
      </c>
      <c r="E27" s="3" t="s">
        <v>269</v>
      </c>
      <c r="F27" s="4" t="s">
        <v>270</v>
      </c>
      <c r="G27" s="2" t="s">
        <v>121</v>
      </c>
      <c r="H27" s="14">
        <v>26</v>
      </c>
      <c r="I27" s="14">
        <v>28</v>
      </c>
      <c r="J27" s="14">
        <f t="shared" si="1"/>
        <v>27</v>
      </c>
      <c r="K27" s="2" t="s">
        <v>955</v>
      </c>
      <c r="L27" s="9" t="s">
        <v>954</v>
      </c>
      <c r="Q27" s="2" t="s">
        <v>47</v>
      </c>
      <c r="R27" s="2" t="s">
        <v>40</v>
      </c>
      <c r="S27" s="2" t="s">
        <v>271</v>
      </c>
      <c r="T27" s="2" t="s">
        <v>1008</v>
      </c>
      <c r="U27" s="2" t="s">
        <v>49</v>
      </c>
      <c r="V27" s="2" t="s">
        <v>272</v>
      </c>
      <c r="W27" s="2" t="s">
        <v>51</v>
      </c>
      <c r="X27" s="2" t="s">
        <v>770</v>
      </c>
      <c r="Y27" s="2" t="s">
        <v>52</v>
      </c>
      <c r="Z27" s="2" t="s">
        <v>273</v>
      </c>
      <c r="AA27" s="2" t="s">
        <v>274</v>
      </c>
      <c r="AB27" s="2" t="s">
        <v>275</v>
      </c>
      <c r="AC27" s="2" t="s">
        <v>276</v>
      </c>
      <c r="AD27" s="2" t="s">
        <v>276</v>
      </c>
      <c r="AE27" s="2" t="s">
        <v>277</v>
      </c>
      <c r="AF27" s="2" t="s">
        <v>278</v>
      </c>
      <c r="AG27" s="2" t="s">
        <v>279</v>
      </c>
      <c r="AH27" s="2" t="s">
        <v>280</v>
      </c>
      <c r="AI27" s="7">
        <v>0.32500000000000001</v>
      </c>
      <c r="AJ27" s="2" t="s">
        <v>281</v>
      </c>
      <c r="AK27" s="2">
        <v>1144</v>
      </c>
      <c r="AL27" s="2">
        <v>30</v>
      </c>
      <c r="AM27" s="2" t="s">
        <v>282</v>
      </c>
      <c r="AN27" s="7">
        <v>0.50209999999999999</v>
      </c>
      <c r="AO27" s="2" t="s">
        <v>175</v>
      </c>
      <c r="AP27" s="2">
        <v>24</v>
      </c>
      <c r="AQ27" s="2" t="s">
        <v>283</v>
      </c>
      <c r="AR27" s="2" t="s">
        <v>90</v>
      </c>
      <c r="AS27" s="1" t="s">
        <v>284</v>
      </c>
      <c r="AT27" s="15">
        <v>0.88</v>
      </c>
      <c r="AU27" s="2" t="s">
        <v>66</v>
      </c>
      <c r="AV27" s="2" t="s">
        <v>285</v>
      </c>
      <c r="AW27" s="22">
        <v>4352.46</v>
      </c>
      <c r="AX27" s="2" t="s">
        <v>68</v>
      </c>
      <c r="AY27" s="2" t="s">
        <v>264</v>
      </c>
      <c r="AZ27" s="2" t="s">
        <v>70</v>
      </c>
      <c r="BA27" s="2" t="s">
        <v>70</v>
      </c>
      <c r="BB27" s="2" t="s">
        <v>286</v>
      </c>
      <c r="BC27" s="2" t="s">
        <v>287</v>
      </c>
      <c r="BD27" s="2" t="s">
        <v>70</v>
      </c>
      <c r="BE27" s="2" t="s">
        <v>1137</v>
      </c>
    </row>
    <row r="28" spans="1:57">
      <c r="A28" s="1" t="s">
        <v>776</v>
      </c>
      <c r="B28" s="1" t="s">
        <v>1130</v>
      </c>
      <c r="C28" s="2" t="s">
        <v>330</v>
      </c>
      <c r="D28" s="3" t="str">
        <f t="shared" si="0"/>
        <v>402 金捷市</v>
      </c>
      <c r="E28" s="3" t="s">
        <v>331</v>
      </c>
      <c r="F28" s="4" t="s">
        <v>332</v>
      </c>
      <c r="G28" s="2" t="s">
        <v>333</v>
      </c>
      <c r="H28" s="14">
        <v>30.5</v>
      </c>
      <c r="I28" s="14">
        <v>30.5</v>
      </c>
      <c r="J28" s="14">
        <f t="shared" si="1"/>
        <v>30.5</v>
      </c>
      <c r="K28" s="2" t="s">
        <v>953</v>
      </c>
      <c r="L28" s="9" t="s">
        <v>952</v>
      </c>
      <c r="N28" s="2" t="s">
        <v>334</v>
      </c>
      <c r="O28" s="13">
        <v>140</v>
      </c>
      <c r="P28" s="13">
        <v>215</v>
      </c>
      <c r="Q28" s="2" t="s">
        <v>47</v>
      </c>
      <c r="R28" s="2" t="s">
        <v>40</v>
      </c>
      <c r="S28" s="2" t="s">
        <v>79</v>
      </c>
      <c r="T28" s="2" t="s">
        <v>1004</v>
      </c>
      <c r="U28" s="2" t="s">
        <v>49</v>
      </c>
      <c r="V28" s="2" t="s">
        <v>335</v>
      </c>
      <c r="W28" s="2" t="s">
        <v>51</v>
      </c>
      <c r="X28" s="2" t="s">
        <v>770</v>
      </c>
      <c r="Y28" s="2" t="s">
        <v>52</v>
      </c>
      <c r="Z28" s="2" t="s">
        <v>336</v>
      </c>
      <c r="AA28" s="2" t="s">
        <v>336</v>
      </c>
      <c r="AB28" s="2" t="s">
        <v>54</v>
      </c>
      <c r="AC28" s="2" t="s">
        <v>55</v>
      </c>
      <c r="AD28" s="2" t="s">
        <v>1153</v>
      </c>
      <c r="AE28" s="2" t="s">
        <v>56</v>
      </c>
      <c r="AF28" s="2" t="s">
        <v>337</v>
      </c>
      <c r="AG28" s="2" t="s">
        <v>85</v>
      </c>
      <c r="AH28" s="2" t="s">
        <v>257</v>
      </c>
      <c r="AI28" s="7">
        <v>0.31900000000000001</v>
      </c>
      <c r="AJ28" s="2" t="s">
        <v>338</v>
      </c>
      <c r="AK28" s="2">
        <v>754</v>
      </c>
      <c r="AL28" s="2">
        <v>23</v>
      </c>
      <c r="AM28" s="2" t="s">
        <v>339</v>
      </c>
      <c r="AN28" s="7">
        <v>0.50739999999999996</v>
      </c>
      <c r="AO28" s="2" t="s">
        <v>340</v>
      </c>
      <c r="AP28" s="2">
        <v>28</v>
      </c>
      <c r="AQ28" s="2" t="s">
        <v>341</v>
      </c>
      <c r="AR28" s="2" t="s">
        <v>90</v>
      </c>
      <c r="AS28" s="1" t="s">
        <v>342</v>
      </c>
      <c r="AT28" s="15">
        <v>1.06</v>
      </c>
      <c r="AU28" s="2" t="s">
        <v>66</v>
      </c>
      <c r="AV28" s="2" t="s">
        <v>343</v>
      </c>
      <c r="AW28" s="22">
        <v>2090.31</v>
      </c>
      <c r="AX28" s="2" t="s">
        <v>68</v>
      </c>
      <c r="AY28" s="2" t="s">
        <v>264</v>
      </c>
      <c r="AZ28" s="2" t="s">
        <v>70</v>
      </c>
      <c r="BA28" s="2" t="s">
        <v>70</v>
      </c>
      <c r="BB28" s="2" t="s">
        <v>344</v>
      </c>
      <c r="BC28" s="2" t="s">
        <v>345</v>
      </c>
      <c r="BD28" s="2" t="s">
        <v>70</v>
      </c>
      <c r="BE28" s="2" t="s">
        <v>1137</v>
      </c>
    </row>
    <row r="29" spans="1:57">
      <c r="A29" s="1" t="s">
        <v>781</v>
      </c>
      <c r="B29" s="1" t="s">
        <v>1130</v>
      </c>
      <c r="C29" s="2" t="s">
        <v>505</v>
      </c>
      <c r="D29" s="3" t="str">
        <f t="shared" si="0"/>
        <v>403 鴻築捷市達</v>
      </c>
      <c r="E29" s="3" t="s">
        <v>506</v>
      </c>
      <c r="F29" s="4" t="s">
        <v>507</v>
      </c>
      <c r="G29" s="2" t="s">
        <v>508</v>
      </c>
      <c r="H29" s="14">
        <v>35</v>
      </c>
      <c r="I29" s="14">
        <v>38</v>
      </c>
      <c r="J29" s="14">
        <f t="shared" si="1"/>
        <v>36.5</v>
      </c>
      <c r="N29" s="2" t="s">
        <v>509</v>
      </c>
      <c r="O29" s="13">
        <v>175</v>
      </c>
      <c r="P29" s="13">
        <v>205</v>
      </c>
      <c r="Q29" s="2" t="s">
        <v>47</v>
      </c>
      <c r="R29" s="2" t="s">
        <v>40</v>
      </c>
      <c r="S29" s="5" t="s">
        <v>510</v>
      </c>
      <c r="T29" s="5" t="s">
        <v>1018</v>
      </c>
      <c r="U29" s="2" t="s">
        <v>49</v>
      </c>
      <c r="V29" s="2" t="s">
        <v>511</v>
      </c>
      <c r="W29" s="2" t="s">
        <v>51</v>
      </c>
      <c r="X29" s="2" t="s">
        <v>770</v>
      </c>
      <c r="Y29" s="2" t="s">
        <v>52</v>
      </c>
      <c r="Z29" s="2" t="s">
        <v>512</v>
      </c>
      <c r="AA29" s="2" t="s">
        <v>513</v>
      </c>
      <c r="AB29" s="2" t="s">
        <v>54</v>
      </c>
      <c r="AC29" s="2" t="s">
        <v>55</v>
      </c>
      <c r="AD29" s="2" t="s">
        <v>1153</v>
      </c>
      <c r="AE29" s="2" t="s">
        <v>56</v>
      </c>
      <c r="AF29" s="2" t="s">
        <v>514</v>
      </c>
      <c r="AG29" s="2" t="s">
        <v>515</v>
      </c>
      <c r="AH29" s="2" t="s">
        <v>59</v>
      </c>
      <c r="AI29" s="7">
        <v>0.32</v>
      </c>
      <c r="AJ29" s="2" t="s">
        <v>516</v>
      </c>
      <c r="AK29" s="2">
        <v>771</v>
      </c>
      <c r="AL29" s="2">
        <v>31</v>
      </c>
      <c r="AM29" s="2" t="s">
        <v>517</v>
      </c>
      <c r="AN29" s="7">
        <v>0.49530000000000002</v>
      </c>
      <c r="AO29" s="2" t="s">
        <v>518</v>
      </c>
      <c r="AP29" s="2">
        <v>29</v>
      </c>
      <c r="AQ29" s="2" t="s">
        <v>519</v>
      </c>
      <c r="AR29" s="2" t="s">
        <v>90</v>
      </c>
      <c r="AS29" s="1" t="s">
        <v>520</v>
      </c>
      <c r="AT29" s="15">
        <v>0.97</v>
      </c>
      <c r="AU29" s="2" t="s">
        <v>66</v>
      </c>
      <c r="AV29" s="2" t="s">
        <v>521</v>
      </c>
      <c r="AW29" s="22">
        <v>2067.2399999999998</v>
      </c>
      <c r="AX29" s="2" t="s">
        <v>68</v>
      </c>
      <c r="AY29" s="2" t="s">
        <v>264</v>
      </c>
      <c r="AZ29" s="2" t="s">
        <v>70</v>
      </c>
      <c r="BA29" s="2" t="s">
        <v>70</v>
      </c>
      <c r="BB29" s="2" t="s">
        <v>522</v>
      </c>
      <c r="BC29" s="2" t="s">
        <v>72</v>
      </c>
      <c r="BD29" s="2" t="s">
        <v>70</v>
      </c>
      <c r="BE29" s="2" t="s">
        <v>1137</v>
      </c>
    </row>
    <row r="30" spans="1:57">
      <c r="A30" s="1" t="s">
        <v>442</v>
      </c>
      <c r="B30" s="1" t="s">
        <v>1130</v>
      </c>
      <c r="C30" s="2" t="s">
        <v>464</v>
      </c>
      <c r="D30" s="3" t="str">
        <f t="shared" si="0"/>
        <v>404 詠勝市中欣</v>
      </c>
      <c r="E30" s="3" t="s">
        <v>465</v>
      </c>
      <c r="F30" s="4" t="s">
        <v>466</v>
      </c>
      <c r="G30" s="2" t="s">
        <v>467</v>
      </c>
      <c r="H30" s="14">
        <v>27</v>
      </c>
      <c r="I30" s="14">
        <v>32</v>
      </c>
      <c r="J30" s="14">
        <f t="shared" si="1"/>
        <v>29.5</v>
      </c>
      <c r="N30" s="2" t="s">
        <v>468</v>
      </c>
      <c r="O30" s="13">
        <v>155</v>
      </c>
      <c r="P30" s="13">
        <v>205</v>
      </c>
      <c r="Q30" s="2" t="s">
        <v>47</v>
      </c>
      <c r="R30" s="2" t="s">
        <v>40</v>
      </c>
      <c r="S30" s="5" t="s">
        <v>469</v>
      </c>
      <c r="T30" s="5" t="s">
        <v>1000</v>
      </c>
      <c r="U30" s="2" t="s">
        <v>49</v>
      </c>
      <c r="V30" s="2" t="s">
        <v>470</v>
      </c>
      <c r="W30" s="2" t="s">
        <v>81</v>
      </c>
      <c r="X30" s="2" t="s">
        <v>770</v>
      </c>
      <c r="Y30" s="2" t="s">
        <v>52</v>
      </c>
      <c r="Z30" s="2" t="s">
        <v>471</v>
      </c>
      <c r="AA30" s="2" t="s">
        <v>472</v>
      </c>
      <c r="AB30" s="2" t="s">
        <v>473</v>
      </c>
      <c r="AC30" s="2" t="s">
        <v>474</v>
      </c>
      <c r="AD30" s="2" t="s">
        <v>474</v>
      </c>
      <c r="AE30" s="2" t="s">
        <v>475</v>
      </c>
      <c r="AF30" s="2" t="s">
        <v>476</v>
      </c>
      <c r="AG30" s="2" t="s">
        <v>477</v>
      </c>
      <c r="AH30" s="2" t="s">
        <v>478</v>
      </c>
      <c r="AI30" s="7">
        <v>0.33</v>
      </c>
      <c r="AJ30" s="2" t="s">
        <v>479</v>
      </c>
      <c r="AK30" s="2">
        <v>257</v>
      </c>
      <c r="AL30" s="2">
        <v>7</v>
      </c>
      <c r="AM30" s="2" t="s">
        <v>480</v>
      </c>
      <c r="AN30" s="7">
        <v>0.53259999999999996</v>
      </c>
      <c r="AO30" s="2" t="s">
        <v>481</v>
      </c>
      <c r="AP30" s="2">
        <v>22</v>
      </c>
      <c r="AQ30" s="2" t="s">
        <v>482</v>
      </c>
      <c r="AR30" s="2" t="s">
        <v>90</v>
      </c>
      <c r="AS30" s="1" t="s">
        <v>219</v>
      </c>
      <c r="AT30" s="15">
        <v>1.01</v>
      </c>
      <c r="AU30" s="2" t="s">
        <v>66</v>
      </c>
      <c r="AV30" s="2" t="s">
        <v>483</v>
      </c>
      <c r="AW30" s="22">
        <v>926.66</v>
      </c>
      <c r="AX30" s="2" t="s">
        <v>68</v>
      </c>
      <c r="AY30" s="2" t="s">
        <v>264</v>
      </c>
      <c r="AZ30" s="2" t="s">
        <v>70</v>
      </c>
      <c r="BA30" s="2" t="s">
        <v>70</v>
      </c>
      <c r="BB30" s="2" t="s">
        <v>484</v>
      </c>
      <c r="BC30" s="2" t="s">
        <v>266</v>
      </c>
      <c r="BD30" s="2" t="s">
        <v>70</v>
      </c>
      <c r="BE30" s="2" t="s">
        <v>1137</v>
      </c>
    </row>
    <row r="31" spans="1:57">
      <c r="A31" s="1" t="s">
        <v>460</v>
      </c>
      <c r="B31" s="1" t="s">
        <v>1130</v>
      </c>
      <c r="C31" s="2" t="s">
        <v>461</v>
      </c>
      <c r="D31" s="3" t="str">
        <f t="shared" si="0"/>
        <v>405 新A7</v>
      </c>
      <c r="E31" s="3" t="s">
        <v>462</v>
      </c>
      <c r="F31" s="9" t="s">
        <v>669</v>
      </c>
      <c r="G31" s="2" t="s">
        <v>670</v>
      </c>
      <c r="H31" s="14">
        <v>31</v>
      </c>
      <c r="I31" s="14">
        <v>33</v>
      </c>
      <c r="J31" s="14">
        <f t="shared" si="1"/>
        <v>32</v>
      </c>
      <c r="N31" s="2" t="s">
        <v>671</v>
      </c>
      <c r="O31" s="13">
        <v>180</v>
      </c>
      <c r="P31" s="13">
        <v>200</v>
      </c>
      <c r="Q31" s="2" t="s">
        <v>47</v>
      </c>
      <c r="R31" s="2" t="s">
        <v>40</v>
      </c>
      <c r="S31" s="2" t="s">
        <v>672</v>
      </c>
      <c r="T31" s="2" t="s">
        <v>1008</v>
      </c>
      <c r="U31" s="2" t="s">
        <v>49</v>
      </c>
      <c r="V31" s="2" t="s">
        <v>673</v>
      </c>
      <c r="W31" s="2" t="s">
        <v>407</v>
      </c>
      <c r="X31" s="2" t="s">
        <v>770</v>
      </c>
      <c r="Y31" s="2" t="s">
        <v>52</v>
      </c>
      <c r="Z31" s="2" t="s">
        <v>674</v>
      </c>
      <c r="AA31" s="2" t="s">
        <v>675</v>
      </c>
      <c r="AB31" s="2" t="s">
        <v>676</v>
      </c>
      <c r="AC31" s="2" t="s">
        <v>677</v>
      </c>
      <c r="AD31" s="2" t="s">
        <v>1153</v>
      </c>
      <c r="AE31" s="2" t="s">
        <v>552</v>
      </c>
      <c r="AF31" s="2" t="s">
        <v>678</v>
      </c>
      <c r="AG31" s="2" t="s">
        <v>648</v>
      </c>
      <c r="AH31" s="8">
        <v>0.32</v>
      </c>
      <c r="AI31" s="7">
        <v>0.32</v>
      </c>
      <c r="AJ31" s="2" t="s">
        <v>679</v>
      </c>
      <c r="AK31" s="2">
        <v>371</v>
      </c>
      <c r="AL31" s="2">
        <v>3</v>
      </c>
      <c r="AM31" s="7">
        <v>0.46450000000000002</v>
      </c>
      <c r="AN31" s="7">
        <v>0.46450000000000002</v>
      </c>
      <c r="AO31" s="2" t="s">
        <v>556</v>
      </c>
      <c r="AP31" s="2">
        <v>15</v>
      </c>
      <c r="AQ31" s="2" t="s">
        <v>680</v>
      </c>
      <c r="AR31" s="2" t="s">
        <v>90</v>
      </c>
      <c r="AS31" s="1" t="s">
        <v>596</v>
      </c>
      <c r="AT31" s="15">
        <v>1</v>
      </c>
      <c r="AU31" s="2" t="s">
        <v>66</v>
      </c>
      <c r="AV31" s="2" t="s">
        <v>681</v>
      </c>
      <c r="AW31" s="22">
        <v>1538.68</v>
      </c>
      <c r="AX31" s="2" t="s">
        <v>68</v>
      </c>
      <c r="AY31" s="2" t="s">
        <v>598</v>
      </c>
      <c r="AZ31" s="2" t="s">
        <v>70</v>
      </c>
      <c r="BA31" s="2" t="s">
        <v>70</v>
      </c>
      <c r="BB31" s="2" t="s">
        <v>682</v>
      </c>
      <c r="BC31" s="2" t="s">
        <v>683</v>
      </c>
      <c r="BD31" s="2" t="s">
        <v>70</v>
      </c>
      <c r="BE31" s="2" t="s">
        <v>1137</v>
      </c>
    </row>
    <row r="32" spans="1:57">
      <c r="A32" s="1" t="s">
        <v>463</v>
      </c>
      <c r="B32" s="1" t="s">
        <v>1130</v>
      </c>
      <c r="C32" s="2" t="s">
        <v>489</v>
      </c>
      <c r="D32" s="3" t="str">
        <f t="shared" si="0"/>
        <v>406 富御捷境</v>
      </c>
      <c r="E32" s="3" t="s">
        <v>490</v>
      </c>
      <c r="F32" s="4" t="s">
        <v>491</v>
      </c>
      <c r="G32" s="2" t="s">
        <v>246</v>
      </c>
      <c r="H32" s="14">
        <v>27</v>
      </c>
      <c r="I32" s="14">
        <v>29</v>
      </c>
      <c r="J32" s="14">
        <f t="shared" si="1"/>
        <v>28</v>
      </c>
      <c r="K32" s="2" t="s">
        <v>951</v>
      </c>
      <c r="L32" s="9" t="s">
        <v>950</v>
      </c>
      <c r="N32" s="2" t="s">
        <v>998</v>
      </c>
      <c r="O32" s="13">
        <v>195</v>
      </c>
      <c r="P32" s="13">
        <v>200</v>
      </c>
      <c r="Q32" s="2" t="s">
        <v>47</v>
      </c>
      <c r="R32" s="2" t="s">
        <v>40</v>
      </c>
      <c r="S32" s="2" t="s">
        <v>79</v>
      </c>
      <c r="T32" s="2" t="s">
        <v>1004</v>
      </c>
      <c r="U32" s="2" t="s">
        <v>49</v>
      </c>
      <c r="V32" s="2" t="s">
        <v>492</v>
      </c>
      <c r="W32" s="2" t="s">
        <v>81</v>
      </c>
      <c r="X32" s="2" t="s">
        <v>770</v>
      </c>
      <c r="Y32" s="2" t="s">
        <v>52</v>
      </c>
      <c r="Z32" s="2" t="s">
        <v>493</v>
      </c>
      <c r="AA32" s="2" t="s">
        <v>494</v>
      </c>
      <c r="AB32" s="2" t="s">
        <v>495</v>
      </c>
      <c r="AC32" s="2" t="s">
        <v>496</v>
      </c>
      <c r="AD32" s="2" t="s">
        <v>1153</v>
      </c>
      <c r="AE32" s="2" t="s">
        <v>56</v>
      </c>
      <c r="AF32" s="2" t="s">
        <v>497</v>
      </c>
      <c r="AG32" s="2" t="s">
        <v>498</v>
      </c>
      <c r="AH32" s="2" t="s">
        <v>86</v>
      </c>
      <c r="AI32" s="7">
        <v>0.315</v>
      </c>
      <c r="AJ32" s="2" t="s">
        <v>499</v>
      </c>
      <c r="AK32" s="2">
        <v>337</v>
      </c>
      <c r="AL32" s="2">
        <v>2</v>
      </c>
      <c r="AM32" s="2" t="s">
        <v>500</v>
      </c>
      <c r="AN32" s="7">
        <v>0.47499999999999998</v>
      </c>
      <c r="AO32" s="2" t="s">
        <v>199</v>
      </c>
      <c r="AP32" s="2">
        <v>15</v>
      </c>
      <c r="AQ32" s="2" t="s">
        <v>501</v>
      </c>
      <c r="AR32" s="2" t="s">
        <v>90</v>
      </c>
      <c r="AS32" s="1" t="s">
        <v>502</v>
      </c>
      <c r="AT32" s="15">
        <v>0.9</v>
      </c>
      <c r="AU32" s="2" t="s">
        <v>66</v>
      </c>
      <c r="AV32" s="2" t="s">
        <v>457</v>
      </c>
      <c r="AW32" s="22">
        <v>1359.03</v>
      </c>
      <c r="AX32" s="2" t="s">
        <v>68</v>
      </c>
      <c r="AY32" s="2" t="s">
        <v>363</v>
      </c>
      <c r="AZ32" s="2" t="s">
        <v>70</v>
      </c>
      <c r="BA32" s="2" t="s">
        <v>70</v>
      </c>
      <c r="BB32" s="2" t="s">
        <v>503</v>
      </c>
      <c r="BC32" s="2" t="s">
        <v>72</v>
      </c>
      <c r="BD32" s="2" t="s">
        <v>70</v>
      </c>
      <c r="BE32" s="2" t="s">
        <v>1137</v>
      </c>
    </row>
    <row r="33" spans="1:57">
      <c r="A33" s="1" t="s">
        <v>782</v>
      </c>
      <c r="B33" s="1" t="s">
        <v>1130</v>
      </c>
      <c r="C33" s="2" t="s">
        <v>772</v>
      </c>
      <c r="D33" s="3" t="str">
        <f t="shared" si="0"/>
        <v>407 富宇哈佛苑</v>
      </c>
      <c r="E33" s="3" t="s">
        <v>429</v>
      </c>
      <c r="F33" s="4" t="s">
        <v>430</v>
      </c>
      <c r="G33" s="2" t="s">
        <v>431</v>
      </c>
      <c r="H33" s="14">
        <v>33</v>
      </c>
      <c r="I33" s="14">
        <v>38</v>
      </c>
      <c r="J33" s="14">
        <f t="shared" si="1"/>
        <v>35.5</v>
      </c>
      <c r="N33" s="2" t="s">
        <v>432</v>
      </c>
      <c r="O33" s="13">
        <v>180</v>
      </c>
      <c r="P33" s="13">
        <v>205</v>
      </c>
      <c r="Q33" s="2" t="s">
        <v>47</v>
      </c>
      <c r="R33" s="2" t="s">
        <v>40</v>
      </c>
      <c r="S33" s="2" t="s">
        <v>433</v>
      </c>
      <c r="T33" s="2" t="s">
        <v>1018</v>
      </c>
      <c r="U33" s="2" t="s">
        <v>49</v>
      </c>
      <c r="V33" s="2" t="s">
        <v>434</v>
      </c>
      <c r="W33" s="2" t="s">
        <v>51</v>
      </c>
      <c r="X33" s="2" t="s">
        <v>770</v>
      </c>
      <c r="Y33" s="2" t="s">
        <v>52</v>
      </c>
      <c r="Z33" s="2" t="s">
        <v>435</v>
      </c>
      <c r="AA33" s="2" t="s">
        <v>436</v>
      </c>
      <c r="AB33" s="2" t="s">
        <v>167</v>
      </c>
      <c r="AC33" s="2" t="s">
        <v>168</v>
      </c>
      <c r="AD33" s="2" t="s">
        <v>168</v>
      </c>
      <c r="AE33" s="2" t="s">
        <v>169</v>
      </c>
      <c r="AF33" s="2" t="s">
        <v>170</v>
      </c>
      <c r="AG33" s="2" t="s">
        <v>215</v>
      </c>
      <c r="AH33" s="2" t="s">
        <v>172</v>
      </c>
      <c r="AI33" s="7">
        <v>0.33500000000000002</v>
      </c>
      <c r="AJ33" s="2" t="s">
        <v>437</v>
      </c>
      <c r="AK33" s="2">
        <v>483</v>
      </c>
      <c r="AL33" s="2">
        <v>8</v>
      </c>
      <c r="AM33" s="2" t="s">
        <v>438</v>
      </c>
      <c r="AN33" s="7">
        <v>0.44180000000000003</v>
      </c>
      <c r="AO33" s="2" t="s">
        <v>175</v>
      </c>
      <c r="AP33" s="2">
        <v>24</v>
      </c>
      <c r="AQ33" s="2" t="s">
        <v>439</v>
      </c>
      <c r="AR33" s="2" t="s">
        <v>381</v>
      </c>
      <c r="AS33" s="1" t="s">
        <v>219</v>
      </c>
      <c r="AT33" s="15">
        <v>1.01</v>
      </c>
      <c r="AU33" s="2" t="s">
        <v>66</v>
      </c>
      <c r="AV33" s="2" t="s">
        <v>440</v>
      </c>
      <c r="AW33" s="22">
        <v>2155.85</v>
      </c>
      <c r="AX33" s="2" t="s">
        <v>68</v>
      </c>
      <c r="AY33" s="2" t="s">
        <v>598</v>
      </c>
      <c r="AZ33" s="2" t="s">
        <v>70</v>
      </c>
      <c r="BA33" s="2" t="s">
        <v>70</v>
      </c>
      <c r="BB33" s="2" t="s">
        <v>441</v>
      </c>
      <c r="BC33" s="2" t="s">
        <v>182</v>
      </c>
      <c r="BD33" s="2" t="s">
        <v>70</v>
      </c>
      <c r="BE33" s="2" t="s">
        <v>1137</v>
      </c>
    </row>
    <row r="34" spans="1:57" ht="21">
      <c r="A34" s="1" t="s">
        <v>485</v>
      </c>
      <c r="B34" s="1" t="s">
        <v>1130</v>
      </c>
      <c r="C34" s="3" t="s">
        <v>486</v>
      </c>
      <c r="D34" s="3" t="str">
        <f t="shared" si="0"/>
        <v>408 頤昌豐岳</v>
      </c>
      <c r="E34" s="3" t="s">
        <v>487</v>
      </c>
      <c r="F34" s="9" t="s">
        <v>686</v>
      </c>
      <c r="G34" s="2" t="s">
        <v>687</v>
      </c>
      <c r="H34" s="14">
        <v>30</v>
      </c>
      <c r="I34" s="14">
        <v>30</v>
      </c>
      <c r="J34" s="14">
        <f t="shared" si="1"/>
        <v>30</v>
      </c>
      <c r="N34" s="2" t="s">
        <v>688</v>
      </c>
      <c r="O34" s="13">
        <v>160</v>
      </c>
      <c r="P34" s="13">
        <v>190</v>
      </c>
      <c r="Q34" s="2" t="s">
        <v>47</v>
      </c>
      <c r="R34" s="2" t="s">
        <v>40</v>
      </c>
      <c r="S34" s="2" t="s">
        <v>689</v>
      </c>
      <c r="T34" s="2" t="s">
        <v>1002</v>
      </c>
      <c r="U34" s="2" t="s">
        <v>49</v>
      </c>
      <c r="V34" s="2" t="s">
        <v>690</v>
      </c>
      <c r="W34" s="2" t="s">
        <v>407</v>
      </c>
      <c r="X34" s="2" t="s">
        <v>770</v>
      </c>
      <c r="Y34" s="2" t="s">
        <v>52</v>
      </c>
      <c r="Z34" s="2" t="s">
        <v>691</v>
      </c>
      <c r="AA34" s="11" t="s">
        <v>691</v>
      </c>
      <c r="AB34" s="2" t="s">
        <v>692</v>
      </c>
      <c r="AC34" s="2" t="s">
        <v>693</v>
      </c>
      <c r="AD34" s="2" t="s">
        <v>693</v>
      </c>
      <c r="AE34" s="2" t="s">
        <v>694</v>
      </c>
      <c r="AF34" s="2" t="s">
        <v>695</v>
      </c>
      <c r="AG34" s="2" t="s">
        <v>696</v>
      </c>
      <c r="AH34" s="8">
        <v>0.32</v>
      </c>
      <c r="AI34" s="7">
        <v>0.32</v>
      </c>
      <c r="AJ34" s="2" t="s">
        <v>697</v>
      </c>
      <c r="AK34" s="2">
        <v>154</v>
      </c>
      <c r="AL34" s="2">
        <v>9</v>
      </c>
      <c r="AM34" s="7">
        <v>0.4622</v>
      </c>
      <c r="AN34" s="7">
        <v>0.4622</v>
      </c>
      <c r="AO34" s="2" t="s">
        <v>556</v>
      </c>
      <c r="AP34" s="2">
        <v>15</v>
      </c>
      <c r="AQ34" s="2" t="s">
        <v>684</v>
      </c>
      <c r="AR34" s="2" t="s">
        <v>90</v>
      </c>
      <c r="AS34" s="1" t="s">
        <v>698</v>
      </c>
      <c r="AT34" s="15">
        <v>1.17</v>
      </c>
      <c r="AU34" s="2" t="s">
        <v>66</v>
      </c>
      <c r="AV34" s="2" t="s">
        <v>699</v>
      </c>
      <c r="AW34" s="22">
        <v>933.78</v>
      </c>
      <c r="AX34" s="2" t="s">
        <v>68</v>
      </c>
      <c r="AY34" s="2" t="s">
        <v>685</v>
      </c>
      <c r="AZ34" s="2" t="s">
        <v>70</v>
      </c>
      <c r="BA34" s="2" t="s">
        <v>70</v>
      </c>
      <c r="BB34" s="2" t="s">
        <v>700</v>
      </c>
      <c r="BC34" s="2" t="s">
        <v>701</v>
      </c>
      <c r="BD34" s="2" t="s">
        <v>70</v>
      </c>
      <c r="BE34" s="2" t="s">
        <v>1137</v>
      </c>
    </row>
    <row r="35" spans="1:57">
      <c r="A35" s="1" t="s">
        <v>488</v>
      </c>
      <c r="B35" s="1" t="s">
        <v>1130</v>
      </c>
      <c r="C35" s="3" t="s">
        <v>427</v>
      </c>
      <c r="D35" s="3" t="str">
        <f t="shared" si="0"/>
        <v>409 新未來2</v>
      </c>
      <c r="E35" s="3" t="s">
        <v>428</v>
      </c>
      <c r="F35" s="9" t="s">
        <v>656</v>
      </c>
      <c r="G35" s="2" t="s">
        <v>657</v>
      </c>
      <c r="H35" s="14">
        <v>30</v>
      </c>
      <c r="I35" s="14">
        <v>32</v>
      </c>
      <c r="J35" s="14">
        <f t="shared" si="1"/>
        <v>31</v>
      </c>
      <c r="N35" s="2" t="s">
        <v>658</v>
      </c>
      <c r="O35" s="13">
        <v>180</v>
      </c>
      <c r="P35" s="13">
        <v>210</v>
      </c>
      <c r="Q35" s="8">
        <v>0.75</v>
      </c>
      <c r="R35" s="2" t="s">
        <v>40</v>
      </c>
      <c r="S35" s="2" t="s">
        <v>659</v>
      </c>
      <c r="T35" s="2" t="s">
        <v>1014</v>
      </c>
      <c r="U35" s="2" t="s">
        <v>49</v>
      </c>
      <c r="V35" s="2" t="s">
        <v>660</v>
      </c>
      <c r="W35" s="2" t="s">
        <v>407</v>
      </c>
      <c r="X35" s="2" t="s">
        <v>770</v>
      </c>
      <c r="Y35" s="2" t="s">
        <v>52</v>
      </c>
      <c r="Z35" s="2" t="s">
        <v>661</v>
      </c>
      <c r="AA35" s="2" t="s">
        <v>643</v>
      </c>
      <c r="AB35" s="2" t="s">
        <v>644</v>
      </c>
      <c r="AC35" s="2" t="s">
        <v>645</v>
      </c>
      <c r="AD35" s="2" t="s">
        <v>645</v>
      </c>
      <c r="AE35" s="2" t="s">
        <v>646</v>
      </c>
      <c r="AF35" s="2" t="s">
        <v>647</v>
      </c>
      <c r="AG35" s="2" t="s">
        <v>648</v>
      </c>
      <c r="AH35" s="7">
        <v>0.33</v>
      </c>
      <c r="AI35" s="7">
        <v>0.33</v>
      </c>
      <c r="AJ35" s="2" t="s">
        <v>662</v>
      </c>
      <c r="AK35" s="2">
        <v>376</v>
      </c>
      <c r="AL35" s="2">
        <v>9</v>
      </c>
      <c r="AM35" s="7">
        <v>0.36220000000000002</v>
      </c>
      <c r="AN35" s="7">
        <v>0.36220000000000002</v>
      </c>
      <c r="AO35" s="2" t="s">
        <v>663</v>
      </c>
      <c r="AP35" s="2">
        <v>22</v>
      </c>
      <c r="AQ35" s="7" t="s">
        <v>664</v>
      </c>
      <c r="AR35" s="2" t="s">
        <v>652</v>
      </c>
      <c r="AS35" s="1" t="s">
        <v>665</v>
      </c>
      <c r="AT35" s="15">
        <v>1.1399999999999999</v>
      </c>
      <c r="AU35" s="2" t="s">
        <v>66</v>
      </c>
      <c r="AV35" s="2" t="s">
        <v>666</v>
      </c>
      <c r="AW35" s="22">
        <v>1955.56</v>
      </c>
      <c r="AX35" s="2" t="s">
        <v>68</v>
      </c>
      <c r="AY35" s="2" t="s">
        <v>598</v>
      </c>
      <c r="AZ35" s="2" t="s">
        <v>70</v>
      </c>
      <c r="BA35" s="2" t="s">
        <v>70</v>
      </c>
      <c r="BB35" s="2" t="s">
        <v>667</v>
      </c>
      <c r="BC35" s="2" t="s">
        <v>668</v>
      </c>
      <c r="BD35" s="2" t="s">
        <v>70</v>
      </c>
      <c r="BE35" s="2" t="s">
        <v>1137</v>
      </c>
    </row>
    <row r="36" spans="1:57" ht="16">
      <c r="A36" s="1" t="s">
        <v>504</v>
      </c>
      <c r="B36" s="1" t="s">
        <v>1130</v>
      </c>
      <c r="C36" s="6" t="s">
        <v>425</v>
      </c>
      <c r="D36" s="3" t="str">
        <f t="shared" si="0"/>
        <v>410 新未來3</v>
      </c>
      <c r="E36" s="3" t="s">
        <v>426</v>
      </c>
      <c r="F36" s="9" t="s">
        <v>637</v>
      </c>
      <c r="G36" s="2" t="s">
        <v>638</v>
      </c>
      <c r="H36" s="14">
        <v>33</v>
      </c>
      <c r="I36" s="14">
        <v>38</v>
      </c>
      <c r="J36" s="14">
        <f t="shared" si="1"/>
        <v>35.5</v>
      </c>
      <c r="N36" s="2" t="s">
        <v>639</v>
      </c>
      <c r="O36" s="13">
        <v>190</v>
      </c>
      <c r="P36" s="13">
        <v>190</v>
      </c>
      <c r="Q36" s="2" t="s">
        <v>47</v>
      </c>
      <c r="R36" s="2" t="s">
        <v>40</v>
      </c>
      <c r="S36" s="2" t="s">
        <v>640</v>
      </c>
      <c r="T36" s="2" t="s">
        <v>1018</v>
      </c>
      <c r="U36" s="2" t="s">
        <v>49</v>
      </c>
      <c r="V36" s="2" t="s">
        <v>641</v>
      </c>
      <c r="W36" s="2" t="s">
        <v>407</v>
      </c>
      <c r="X36" s="2" t="s">
        <v>770</v>
      </c>
      <c r="Y36" s="2" t="s">
        <v>52</v>
      </c>
      <c r="Z36" s="2" t="s">
        <v>642</v>
      </c>
      <c r="AA36" s="2" t="s">
        <v>643</v>
      </c>
      <c r="AB36" s="2" t="s">
        <v>644</v>
      </c>
      <c r="AC36" s="2" t="s">
        <v>645</v>
      </c>
      <c r="AD36" s="2" t="s">
        <v>645</v>
      </c>
      <c r="AE36" s="2" t="s">
        <v>646</v>
      </c>
      <c r="AF36" s="2" t="s">
        <v>647</v>
      </c>
      <c r="AG36" s="2" t="s">
        <v>648</v>
      </c>
      <c r="AH36" s="7">
        <v>0.3327</v>
      </c>
      <c r="AI36" s="7">
        <v>0.3327</v>
      </c>
      <c r="AJ36" s="2" t="s">
        <v>649</v>
      </c>
      <c r="AK36" s="2">
        <v>582</v>
      </c>
      <c r="AL36" s="2">
        <v>16</v>
      </c>
      <c r="AM36" s="7">
        <v>0.38300000000000001</v>
      </c>
      <c r="AN36" s="7">
        <v>0.38300000000000001</v>
      </c>
      <c r="AO36" s="2" t="s">
        <v>650</v>
      </c>
      <c r="AP36" s="2">
        <v>22</v>
      </c>
      <c r="AQ36" s="7" t="s">
        <v>651</v>
      </c>
      <c r="AR36" s="2" t="s">
        <v>652</v>
      </c>
      <c r="AS36" s="1" t="s">
        <v>596</v>
      </c>
      <c r="AT36" s="15">
        <v>1</v>
      </c>
      <c r="AU36" s="2" t="s">
        <v>66</v>
      </c>
      <c r="AV36" s="2" t="s">
        <v>653</v>
      </c>
      <c r="AW36" s="22">
        <v>2513.2199999999998</v>
      </c>
      <c r="AX36" s="2" t="s">
        <v>68</v>
      </c>
      <c r="AY36" s="2" t="s">
        <v>598</v>
      </c>
      <c r="AZ36" s="2" t="s">
        <v>70</v>
      </c>
      <c r="BA36" s="2" t="s">
        <v>70</v>
      </c>
      <c r="BB36" s="2" t="s">
        <v>654</v>
      </c>
      <c r="BC36" s="2" t="s">
        <v>655</v>
      </c>
      <c r="BD36" s="2" t="s">
        <v>70</v>
      </c>
      <c r="BE36" s="2" t="s">
        <v>1137</v>
      </c>
    </row>
    <row r="37" spans="1:57">
      <c r="A37" s="1" t="s">
        <v>523</v>
      </c>
      <c r="B37" s="1" t="s">
        <v>1130</v>
      </c>
      <c r="C37" s="2" t="s">
        <v>443</v>
      </c>
      <c r="D37" s="3" t="str">
        <f t="shared" si="0"/>
        <v>411 和洲金剛</v>
      </c>
      <c r="E37" s="3" t="s">
        <v>444</v>
      </c>
      <c r="F37" s="4" t="s">
        <v>445</v>
      </c>
      <c r="G37" s="2" t="s">
        <v>446</v>
      </c>
      <c r="H37" s="14">
        <v>25</v>
      </c>
      <c r="I37" s="14">
        <v>27</v>
      </c>
      <c r="J37" s="14">
        <f t="shared" si="1"/>
        <v>26</v>
      </c>
      <c r="N37" s="2" t="s">
        <v>652</v>
      </c>
      <c r="Q37" s="2" t="s">
        <v>47</v>
      </c>
      <c r="R37" s="2" t="s">
        <v>40</v>
      </c>
      <c r="S37" s="2" t="s">
        <v>123</v>
      </c>
      <c r="T37" s="2" t="s">
        <v>1008</v>
      </c>
      <c r="U37" s="2" t="s">
        <v>49</v>
      </c>
      <c r="V37" s="2" t="s">
        <v>447</v>
      </c>
      <c r="W37" s="2" t="s">
        <v>51</v>
      </c>
      <c r="X37" s="2" t="s">
        <v>770</v>
      </c>
      <c r="Y37" s="2" t="s">
        <v>52</v>
      </c>
      <c r="Z37" s="2" t="s">
        <v>448</v>
      </c>
      <c r="AA37" s="2" t="s">
        <v>449</v>
      </c>
      <c r="AB37" s="2" t="s">
        <v>450</v>
      </c>
      <c r="AC37" s="2" t="s">
        <v>451</v>
      </c>
      <c r="AD37" s="2" t="s">
        <v>1153</v>
      </c>
      <c r="AE37" s="2" t="s">
        <v>56</v>
      </c>
      <c r="AF37" s="2" t="s">
        <v>452</v>
      </c>
      <c r="AG37" s="2" t="s">
        <v>85</v>
      </c>
      <c r="AH37" s="2" t="s">
        <v>59</v>
      </c>
      <c r="AI37" s="7">
        <v>0.32</v>
      </c>
      <c r="AJ37" s="2" t="s">
        <v>453</v>
      </c>
      <c r="AK37" s="2">
        <v>210</v>
      </c>
      <c r="AL37" s="2">
        <v>11</v>
      </c>
      <c r="AM37" s="2" t="s">
        <v>454</v>
      </c>
      <c r="AN37" s="7">
        <v>0.45540000000000003</v>
      </c>
      <c r="AO37" s="2" t="s">
        <v>455</v>
      </c>
      <c r="AP37" s="2">
        <v>15</v>
      </c>
      <c r="AQ37" s="2" t="s">
        <v>456</v>
      </c>
      <c r="AR37" s="2" t="s">
        <v>90</v>
      </c>
      <c r="AS37" s="1" t="s">
        <v>202</v>
      </c>
      <c r="AT37" s="15">
        <v>1.02</v>
      </c>
      <c r="AU37" s="2" t="s">
        <v>66</v>
      </c>
      <c r="AV37" s="2" t="s">
        <v>457</v>
      </c>
      <c r="AW37" s="22">
        <v>1359.03</v>
      </c>
      <c r="AX37" s="2" t="s">
        <v>68</v>
      </c>
      <c r="AY37" s="2" t="s">
        <v>420</v>
      </c>
      <c r="AZ37" s="2" t="s">
        <v>458</v>
      </c>
      <c r="BA37" s="2" t="s">
        <v>70</v>
      </c>
      <c r="BB37" s="2" t="s">
        <v>459</v>
      </c>
      <c r="BC37" s="2" t="s">
        <v>72</v>
      </c>
      <c r="BD37" s="2" t="s">
        <v>70</v>
      </c>
      <c r="BE37" s="2" t="s">
        <v>1137</v>
      </c>
    </row>
    <row r="38" spans="1:57">
      <c r="A38" s="1" t="s">
        <v>539</v>
      </c>
      <c r="B38" s="1" t="s">
        <v>1130</v>
      </c>
      <c r="C38" s="2" t="s">
        <v>400</v>
      </c>
      <c r="D38" s="3" t="str">
        <f t="shared" si="0"/>
        <v>412 君邑丘比特</v>
      </c>
      <c r="E38" s="3" t="s">
        <v>401</v>
      </c>
      <c r="F38" s="4" t="s">
        <v>402</v>
      </c>
      <c r="G38" s="2" t="s">
        <v>403</v>
      </c>
      <c r="H38" s="14">
        <v>27.8</v>
      </c>
      <c r="I38" s="14">
        <v>32</v>
      </c>
      <c r="J38" s="14">
        <f t="shared" si="1"/>
        <v>29.9</v>
      </c>
      <c r="N38" s="2" t="s">
        <v>404</v>
      </c>
      <c r="O38" s="13">
        <v>180</v>
      </c>
      <c r="P38" s="13">
        <v>230</v>
      </c>
      <c r="Q38" s="2" t="s">
        <v>47</v>
      </c>
      <c r="R38" s="2" t="s">
        <v>40</v>
      </c>
      <c r="S38" s="2" t="s">
        <v>405</v>
      </c>
      <c r="T38" s="2" t="s">
        <v>1014</v>
      </c>
      <c r="U38" s="2" t="s">
        <v>49</v>
      </c>
      <c r="V38" s="2" t="s">
        <v>406</v>
      </c>
      <c r="W38" s="2" t="s">
        <v>407</v>
      </c>
      <c r="X38" s="2" t="s">
        <v>770</v>
      </c>
      <c r="Y38" s="2" t="s">
        <v>408</v>
      </c>
      <c r="Z38" s="2" t="s">
        <v>409</v>
      </c>
      <c r="AA38" s="2" t="s">
        <v>410</v>
      </c>
      <c r="AB38" s="2" t="s">
        <v>411</v>
      </c>
      <c r="AC38" s="2" t="s">
        <v>412</v>
      </c>
      <c r="AD38" s="2" t="s">
        <v>412</v>
      </c>
      <c r="AE38" s="2" t="s">
        <v>413</v>
      </c>
      <c r="AF38" s="2" t="s">
        <v>413</v>
      </c>
      <c r="AG38" s="2" t="s">
        <v>414</v>
      </c>
      <c r="AH38" s="2" t="s">
        <v>415</v>
      </c>
      <c r="AI38" s="7">
        <v>0.33129999999999998</v>
      </c>
      <c r="AJ38" s="2" t="s">
        <v>416</v>
      </c>
      <c r="AK38" s="2">
        <v>173</v>
      </c>
      <c r="AL38" s="2">
        <v>5</v>
      </c>
      <c r="AM38" s="7">
        <v>0.46150000000000002</v>
      </c>
      <c r="AN38" s="7">
        <v>0.46150000000000002</v>
      </c>
      <c r="AO38" s="2" t="s">
        <v>417</v>
      </c>
      <c r="AP38" s="2">
        <v>15</v>
      </c>
      <c r="AQ38" s="2" t="s">
        <v>418</v>
      </c>
      <c r="AR38" s="2" t="s">
        <v>90</v>
      </c>
      <c r="AS38" s="1" t="s">
        <v>1023</v>
      </c>
      <c r="AT38" s="15">
        <v>1.07</v>
      </c>
      <c r="AU38" s="2" t="s">
        <v>66</v>
      </c>
      <c r="AV38" s="2" t="s">
        <v>419</v>
      </c>
      <c r="AW38" s="22">
        <v>1030.74</v>
      </c>
      <c r="AX38" s="2" t="s">
        <v>68</v>
      </c>
      <c r="AY38" s="2" t="s">
        <v>420</v>
      </c>
      <c r="AZ38" s="2" t="s">
        <v>70</v>
      </c>
      <c r="BA38" s="2" t="s">
        <v>70</v>
      </c>
      <c r="BB38" s="2" t="s">
        <v>421</v>
      </c>
      <c r="BC38" s="2" t="s">
        <v>422</v>
      </c>
      <c r="BD38" s="2" t="s">
        <v>70</v>
      </c>
      <c r="BE38" s="2" t="s">
        <v>1137</v>
      </c>
    </row>
    <row r="39" spans="1:57">
      <c r="A39" s="1" t="s">
        <v>794</v>
      </c>
      <c r="B39" s="1" t="s">
        <v>1130</v>
      </c>
      <c r="C39" s="2" t="s">
        <v>793</v>
      </c>
      <c r="D39" s="3" t="str">
        <f t="shared" si="0"/>
        <v>413 頤昌璞岳</v>
      </c>
      <c r="E39" s="3" t="s">
        <v>798</v>
      </c>
      <c r="F39" s="4" t="s">
        <v>846</v>
      </c>
      <c r="G39" s="2" t="s">
        <v>848</v>
      </c>
      <c r="H39" s="14">
        <v>32</v>
      </c>
      <c r="I39" s="14">
        <v>33</v>
      </c>
      <c r="J39" s="14">
        <f t="shared" si="1"/>
        <v>32.5</v>
      </c>
      <c r="N39" s="2" t="s">
        <v>652</v>
      </c>
      <c r="Q39" s="10" t="s">
        <v>90</v>
      </c>
      <c r="R39" s="2" t="s">
        <v>703</v>
      </c>
      <c r="S39" s="2" t="s">
        <v>847</v>
      </c>
      <c r="T39" s="2" t="s">
        <v>1020</v>
      </c>
      <c r="U39" s="2" t="s">
        <v>49</v>
      </c>
      <c r="V39" s="2" t="s">
        <v>849</v>
      </c>
      <c r="W39" s="2" t="s">
        <v>407</v>
      </c>
      <c r="X39" s="2" t="s">
        <v>770</v>
      </c>
      <c r="Y39" s="2" t="s">
        <v>408</v>
      </c>
      <c r="Z39" s="2" t="s">
        <v>850</v>
      </c>
      <c r="AA39" s="2" t="s">
        <v>851</v>
      </c>
      <c r="AB39" s="2" t="s">
        <v>692</v>
      </c>
      <c r="AC39" s="2" t="s">
        <v>693</v>
      </c>
      <c r="AD39" s="2" t="s">
        <v>693</v>
      </c>
      <c r="AE39" s="2" t="s">
        <v>930</v>
      </c>
      <c r="AF39" s="2" t="s">
        <v>695</v>
      </c>
      <c r="AG39" s="2" t="s">
        <v>931</v>
      </c>
      <c r="AH39" s="7">
        <v>0.32100000000000001</v>
      </c>
      <c r="AI39" s="7">
        <v>0.32100000000000001</v>
      </c>
      <c r="AJ39" s="2" t="s">
        <v>932</v>
      </c>
      <c r="AK39" s="2">
        <v>124</v>
      </c>
      <c r="AL39" s="2">
        <v>11</v>
      </c>
      <c r="AM39" s="7">
        <v>0.51349999999999996</v>
      </c>
      <c r="AN39" s="7">
        <v>0.51349999999999996</v>
      </c>
      <c r="AO39" s="9" t="s">
        <v>863</v>
      </c>
      <c r="AP39" s="9">
        <v>14</v>
      </c>
      <c r="AQ39" s="2" t="s">
        <v>933</v>
      </c>
      <c r="AR39" s="2" t="s">
        <v>652</v>
      </c>
      <c r="AS39" s="1" t="s">
        <v>617</v>
      </c>
      <c r="AT39" s="15">
        <v>1.01</v>
      </c>
      <c r="AU39" s="2" t="s">
        <v>66</v>
      </c>
      <c r="AV39" s="2" t="s">
        <v>925</v>
      </c>
      <c r="AW39" s="22">
        <v>595.29</v>
      </c>
      <c r="AX39" s="2" t="s">
        <v>68</v>
      </c>
      <c r="AY39" s="2" t="s">
        <v>420</v>
      </c>
      <c r="AZ39" s="2" t="s">
        <v>70</v>
      </c>
      <c r="BA39" s="2" t="s">
        <v>70</v>
      </c>
      <c r="BB39" s="2" t="s">
        <v>926</v>
      </c>
      <c r="BC39" s="2" t="s">
        <v>927</v>
      </c>
      <c r="BD39" s="2" t="s">
        <v>70</v>
      </c>
      <c r="BE39" s="2" t="s">
        <v>1137</v>
      </c>
    </row>
    <row r="40" spans="1:57">
      <c r="A40" s="1" t="s">
        <v>910</v>
      </c>
      <c r="B40" s="1" t="s">
        <v>1130</v>
      </c>
      <c r="C40" s="2" t="s">
        <v>911</v>
      </c>
      <c r="D40" s="3" t="str">
        <f t="shared" si="0"/>
        <v>414 合謙學</v>
      </c>
      <c r="E40" s="3" t="s">
        <v>913</v>
      </c>
      <c r="F40" s="4" t="s">
        <v>914</v>
      </c>
      <c r="G40" s="2" t="s">
        <v>912</v>
      </c>
      <c r="H40" s="14">
        <v>32</v>
      </c>
      <c r="I40" s="14">
        <v>35</v>
      </c>
      <c r="J40" s="14">
        <f t="shared" si="1"/>
        <v>33.5</v>
      </c>
      <c r="N40" s="2" t="s">
        <v>652</v>
      </c>
      <c r="Q40" s="10" t="s">
        <v>90</v>
      </c>
      <c r="R40" s="2" t="s">
        <v>40</v>
      </c>
      <c r="S40" s="2" t="s">
        <v>833</v>
      </c>
      <c r="T40" s="2" t="s">
        <v>1014</v>
      </c>
      <c r="U40" s="2" t="s">
        <v>49</v>
      </c>
      <c r="V40" s="2" t="s">
        <v>915</v>
      </c>
      <c r="W40" s="2" t="s">
        <v>407</v>
      </c>
      <c r="X40" s="2" t="s">
        <v>770</v>
      </c>
      <c r="Y40" s="2" t="s">
        <v>408</v>
      </c>
      <c r="Z40" s="2" t="s">
        <v>916</v>
      </c>
      <c r="AA40" s="2" t="s">
        <v>916</v>
      </c>
      <c r="AB40" s="2" t="s">
        <v>917</v>
      </c>
      <c r="AC40" s="2" t="s">
        <v>918</v>
      </c>
      <c r="AD40" s="2" t="s">
        <v>918</v>
      </c>
      <c r="AE40" s="2" t="s">
        <v>919</v>
      </c>
      <c r="AF40" s="2" t="s">
        <v>920</v>
      </c>
      <c r="AG40" s="2" t="s">
        <v>921</v>
      </c>
      <c r="AH40" s="7">
        <v>0.32500000000000001</v>
      </c>
      <c r="AI40" s="7">
        <v>0.32500000000000001</v>
      </c>
      <c r="AJ40" s="2" t="s">
        <v>922</v>
      </c>
      <c r="AK40" s="2">
        <v>106</v>
      </c>
      <c r="AL40" s="2">
        <v>0</v>
      </c>
      <c r="AM40" s="7">
        <v>0.45660000000000001</v>
      </c>
      <c r="AN40" s="7">
        <v>0.45660000000000001</v>
      </c>
      <c r="AO40" s="2" t="s">
        <v>863</v>
      </c>
      <c r="AP40" s="2">
        <v>14</v>
      </c>
      <c r="AQ40" s="7" t="s">
        <v>923</v>
      </c>
      <c r="AR40" s="2" t="s">
        <v>729</v>
      </c>
      <c r="AS40" s="1" t="s">
        <v>924</v>
      </c>
      <c r="AT40" s="15">
        <v>0.91</v>
      </c>
      <c r="AU40" s="2" t="s">
        <v>66</v>
      </c>
      <c r="AV40" s="2" t="s">
        <v>928</v>
      </c>
      <c r="AW40" s="22">
        <v>1030.74</v>
      </c>
      <c r="AX40" s="2" t="s">
        <v>929</v>
      </c>
      <c r="AY40" s="2" t="s">
        <v>420</v>
      </c>
      <c r="BE40" s="2" t="s">
        <v>1137</v>
      </c>
    </row>
    <row r="41" spans="1:57">
      <c r="A41" s="1" t="s">
        <v>975</v>
      </c>
      <c r="B41" s="1" t="s">
        <v>1130</v>
      </c>
      <c r="C41" s="2" t="s">
        <v>976</v>
      </c>
      <c r="D41" s="3" t="str">
        <f t="shared" si="0"/>
        <v>415 大亮時代A7</v>
      </c>
      <c r="E41" s="3" t="s">
        <v>977</v>
      </c>
      <c r="F41" s="4" t="s">
        <v>978</v>
      </c>
      <c r="G41" s="2" t="s">
        <v>979</v>
      </c>
      <c r="H41" s="14">
        <v>35</v>
      </c>
      <c r="I41" s="14">
        <v>36</v>
      </c>
      <c r="J41" s="14">
        <f t="shared" si="1"/>
        <v>35.5</v>
      </c>
      <c r="N41" s="2" t="s">
        <v>980</v>
      </c>
      <c r="O41" s="13">
        <v>148</v>
      </c>
      <c r="P41" s="13">
        <v>169</v>
      </c>
      <c r="Q41" s="2" t="s">
        <v>47</v>
      </c>
      <c r="R41" s="2" t="s">
        <v>40</v>
      </c>
      <c r="S41" s="2" t="s">
        <v>981</v>
      </c>
      <c r="T41" s="2" t="s">
        <v>1018</v>
      </c>
      <c r="U41" s="2" t="s">
        <v>49</v>
      </c>
      <c r="V41" s="2" t="s">
        <v>982</v>
      </c>
      <c r="W41" s="2" t="s">
        <v>407</v>
      </c>
      <c r="X41" s="2" t="s">
        <v>770</v>
      </c>
      <c r="Y41" s="2" t="s">
        <v>983</v>
      </c>
      <c r="Z41" s="2" t="s">
        <v>984</v>
      </c>
      <c r="AA41" s="2" t="s">
        <v>985</v>
      </c>
      <c r="AB41" s="2" t="s">
        <v>986</v>
      </c>
      <c r="AC41" s="2" t="s">
        <v>987</v>
      </c>
      <c r="AD41" s="2" t="s">
        <v>987</v>
      </c>
      <c r="AE41" s="2" t="s">
        <v>988</v>
      </c>
      <c r="AF41" s="2" t="s">
        <v>986</v>
      </c>
      <c r="AG41" s="2" t="s">
        <v>989</v>
      </c>
      <c r="AH41" s="7">
        <v>0.33900000000000002</v>
      </c>
      <c r="AI41" s="7">
        <v>0.33900000000000002</v>
      </c>
      <c r="AJ41" s="2" t="s">
        <v>990</v>
      </c>
      <c r="AK41" s="2">
        <v>87</v>
      </c>
      <c r="AL41" s="2">
        <v>3</v>
      </c>
      <c r="AM41" s="7">
        <v>0.50270000000000004</v>
      </c>
      <c r="AN41" s="7">
        <v>0.50270000000000004</v>
      </c>
      <c r="AO41" s="2" t="s">
        <v>556</v>
      </c>
      <c r="AP41" s="2">
        <v>15</v>
      </c>
      <c r="AQ41" s="7" t="s">
        <v>991</v>
      </c>
      <c r="AR41" s="2" t="s">
        <v>992</v>
      </c>
      <c r="AS41" s="1" t="s">
        <v>993</v>
      </c>
      <c r="AT41" s="15">
        <v>0.36</v>
      </c>
      <c r="AU41" s="2" t="s">
        <v>66</v>
      </c>
      <c r="AV41" s="2" t="s">
        <v>994</v>
      </c>
      <c r="AW41" s="22">
        <v>332.5</v>
      </c>
      <c r="AX41" s="2" t="s">
        <v>995</v>
      </c>
      <c r="AY41" s="2" t="s">
        <v>619</v>
      </c>
      <c r="BB41" s="2" t="s">
        <v>996</v>
      </c>
      <c r="BC41" s="2" t="s">
        <v>997</v>
      </c>
      <c r="BD41" s="2" t="s">
        <v>70</v>
      </c>
      <c r="BE41" s="2" t="s">
        <v>1137</v>
      </c>
    </row>
    <row r="42" spans="1:57">
      <c r="A42" s="1" t="s">
        <v>784</v>
      </c>
      <c r="B42" s="1" t="s">
        <v>1132</v>
      </c>
      <c r="C42" s="2" t="s">
        <v>540</v>
      </c>
      <c r="D42" s="3" t="str">
        <f t="shared" si="0"/>
        <v>501 新未來1</v>
      </c>
      <c r="E42" s="3" t="s">
        <v>541</v>
      </c>
      <c r="F42" s="9" t="s">
        <v>702</v>
      </c>
      <c r="G42" s="2" t="s">
        <v>638</v>
      </c>
      <c r="H42" s="14">
        <v>33</v>
      </c>
      <c r="I42" s="14">
        <v>38</v>
      </c>
      <c r="J42" s="14">
        <f t="shared" si="1"/>
        <v>35.5</v>
      </c>
      <c r="K42" s="2" t="s">
        <v>949</v>
      </c>
      <c r="L42" s="2" t="s">
        <v>948</v>
      </c>
      <c r="Q42" s="2" t="s">
        <v>47</v>
      </c>
      <c r="R42" s="2" t="s">
        <v>703</v>
      </c>
      <c r="S42" s="2" t="s">
        <v>704</v>
      </c>
      <c r="T42" s="2" t="s">
        <v>1008</v>
      </c>
      <c r="U42" s="2" t="s">
        <v>49</v>
      </c>
      <c r="V42" s="2" t="s">
        <v>705</v>
      </c>
      <c r="W42" s="2" t="s">
        <v>407</v>
      </c>
      <c r="X42" s="2" t="s">
        <v>770</v>
      </c>
      <c r="Y42" s="2" t="s">
        <v>52</v>
      </c>
      <c r="Z42" s="2" t="s">
        <v>643</v>
      </c>
      <c r="AA42" s="2" t="s">
        <v>643</v>
      </c>
      <c r="AB42" s="2" t="s">
        <v>644</v>
      </c>
      <c r="AC42" s="2" t="s">
        <v>645</v>
      </c>
      <c r="AD42" s="2" t="s">
        <v>645</v>
      </c>
      <c r="AE42" s="2" t="s">
        <v>706</v>
      </c>
      <c r="AF42" s="2" t="s">
        <v>707</v>
      </c>
      <c r="AG42" s="2" t="s">
        <v>631</v>
      </c>
      <c r="AH42" s="8">
        <v>0.33</v>
      </c>
      <c r="AI42" s="7">
        <v>0.33</v>
      </c>
      <c r="AJ42" s="2" t="s">
        <v>708</v>
      </c>
      <c r="AK42" s="2">
        <v>807</v>
      </c>
      <c r="AL42" s="2">
        <v>14</v>
      </c>
      <c r="AM42" s="7">
        <v>0.57020000000000004</v>
      </c>
      <c r="AN42" s="7">
        <v>0.57020000000000004</v>
      </c>
      <c r="AO42" s="2" t="s">
        <v>709</v>
      </c>
      <c r="AP42" s="2">
        <v>28</v>
      </c>
      <c r="AQ42" s="2" t="s">
        <v>710</v>
      </c>
      <c r="AR42" s="2" t="s">
        <v>711</v>
      </c>
      <c r="AS42" s="1" t="s">
        <v>712</v>
      </c>
      <c r="AT42" s="15">
        <v>0.89</v>
      </c>
      <c r="AU42" s="2" t="s">
        <v>66</v>
      </c>
      <c r="AV42" s="2" t="s">
        <v>713</v>
      </c>
      <c r="AW42" s="22">
        <v>2890</v>
      </c>
      <c r="AX42" s="2" t="s">
        <v>68</v>
      </c>
      <c r="AY42" s="2" t="s">
        <v>619</v>
      </c>
      <c r="AZ42" s="2" t="s">
        <v>70</v>
      </c>
      <c r="BA42" s="2" t="s">
        <v>70</v>
      </c>
      <c r="BB42" s="2" t="s">
        <v>714</v>
      </c>
      <c r="BC42" s="2" t="s">
        <v>715</v>
      </c>
      <c r="BD42" s="2" t="s">
        <v>70</v>
      </c>
      <c r="BE42" s="2" t="s">
        <v>1139</v>
      </c>
    </row>
    <row r="43" spans="1:57" ht="16">
      <c r="A43" s="1" t="s">
        <v>783</v>
      </c>
      <c r="B43" s="1" t="s">
        <v>1132</v>
      </c>
      <c r="C43" s="6" t="s">
        <v>542</v>
      </c>
      <c r="D43" s="3" t="str">
        <f t="shared" si="0"/>
        <v>502 富宇天匯</v>
      </c>
      <c r="E43" s="3" t="s">
        <v>543</v>
      </c>
      <c r="F43" s="9" t="s">
        <v>716</v>
      </c>
      <c r="G43" s="2" t="s">
        <v>717</v>
      </c>
      <c r="H43" s="14">
        <v>39</v>
      </c>
      <c r="I43" s="14">
        <v>43</v>
      </c>
      <c r="J43" s="14">
        <f t="shared" si="1"/>
        <v>41</v>
      </c>
      <c r="N43" s="2" t="s">
        <v>718</v>
      </c>
      <c r="O43" s="13">
        <v>160</v>
      </c>
      <c r="P43" s="13">
        <v>205</v>
      </c>
      <c r="Q43" s="2" t="s">
        <v>47</v>
      </c>
      <c r="R43" s="2" t="s">
        <v>40</v>
      </c>
      <c r="S43" s="2" t="s">
        <v>719</v>
      </c>
      <c r="T43" s="2" t="s">
        <v>1022</v>
      </c>
      <c r="U43" s="2" t="s">
        <v>49</v>
      </c>
      <c r="V43" s="2" t="s">
        <v>720</v>
      </c>
      <c r="W43" s="2" t="s">
        <v>407</v>
      </c>
      <c r="X43" s="2" t="s">
        <v>770</v>
      </c>
      <c r="Y43" s="2" t="s">
        <v>52</v>
      </c>
      <c r="Z43" s="2" t="s">
        <v>721</v>
      </c>
      <c r="AA43" s="2" t="s">
        <v>722</v>
      </c>
      <c r="AB43" s="2" t="s">
        <v>723</v>
      </c>
      <c r="AC43" s="2" t="s">
        <v>724</v>
      </c>
      <c r="AD43" s="2" t="s">
        <v>168</v>
      </c>
      <c r="AE43" s="2" t="s">
        <v>725</v>
      </c>
      <c r="AF43" s="2" t="s">
        <v>726</v>
      </c>
      <c r="AG43" s="2" t="s">
        <v>631</v>
      </c>
      <c r="AH43" s="7">
        <v>0.33500000000000002</v>
      </c>
      <c r="AI43" s="7">
        <v>0.33500000000000002</v>
      </c>
      <c r="AJ43" s="2" t="s">
        <v>727</v>
      </c>
      <c r="AK43" s="2">
        <v>266</v>
      </c>
      <c r="AL43" s="2">
        <v>4</v>
      </c>
      <c r="AM43" s="7">
        <v>0.49540000000000001</v>
      </c>
      <c r="AN43" s="7">
        <v>0.49540000000000001</v>
      </c>
      <c r="AO43" s="2" t="s">
        <v>556</v>
      </c>
      <c r="AP43" s="2">
        <v>15</v>
      </c>
      <c r="AQ43" s="7" t="s">
        <v>728</v>
      </c>
      <c r="AR43" s="2" t="s">
        <v>729</v>
      </c>
      <c r="AS43" s="1" t="s">
        <v>730</v>
      </c>
      <c r="AT43" s="15">
        <v>1.03</v>
      </c>
      <c r="AU43" s="2" t="s">
        <v>66</v>
      </c>
      <c r="AV43" s="2" t="s">
        <v>731</v>
      </c>
      <c r="AW43" s="22">
        <v>1471.38</v>
      </c>
      <c r="AX43" s="2" t="s">
        <v>68</v>
      </c>
      <c r="AY43" s="2" t="s">
        <v>685</v>
      </c>
      <c r="AZ43" s="2" t="s">
        <v>70</v>
      </c>
      <c r="BA43" s="2" t="s">
        <v>70</v>
      </c>
      <c r="BB43" s="2" t="s">
        <v>732</v>
      </c>
      <c r="BC43" s="2" t="s">
        <v>733</v>
      </c>
      <c r="BD43" s="2" t="s">
        <v>70</v>
      </c>
      <c r="BE43" s="2" t="s">
        <v>1139</v>
      </c>
    </row>
    <row r="44" spans="1:57">
      <c r="A44" s="1" t="s">
        <v>785</v>
      </c>
      <c r="B44" s="1" t="s">
        <v>1132</v>
      </c>
      <c r="C44" s="2" t="s">
        <v>524</v>
      </c>
      <c r="D44" s="3" t="str">
        <f t="shared" si="0"/>
        <v>503 竹城明治</v>
      </c>
      <c r="E44" s="3" t="s">
        <v>525</v>
      </c>
      <c r="F44" s="4" t="s">
        <v>526</v>
      </c>
      <c r="G44" s="2" t="s">
        <v>527</v>
      </c>
      <c r="H44" s="14">
        <v>28</v>
      </c>
      <c r="I44" s="14">
        <v>30</v>
      </c>
      <c r="J44" s="14">
        <f t="shared" si="1"/>
        <v>29</v>
      </c>
      <c r="Q44" s="2" t="s">
        <v>47</v>
      </c>
      <c r="R44" s="2" t="s">
        <v>40</v>
      </c>
      <c r="S44" s="2" t="s">
        <v>79</v>
      </c>
      <c r="T44" s="2" t="s">
        <v>1004</v>
      </c>
      <c r="U44" s="2" t="s">
        <v>49</v>
      </c>
      <c r="V44" s="2" t="s">
        <v>528</v>
      </c>
      <c r="W44" s="2" t="s">
        <v>81</v>
      </c>
      <c r="X44" s="2" t="s">
        <v>770</v>
      </c>
      <c r="Y44" s="2" t="s">
        <v>52</v>
      </c>
      <c r="Z44" s="2" t="s">
        <v>529</v>
      </c>
      <c r="AA44" s="2" t="s">
        <v>530</v>
      </c>
      <c r="AB44" s="2" t="s">
        <v>275</v>
      </c>
      <c r="AC44" s="2" t="s">
        <v>276</v>
      </c>
      <c r="AD44" s="2" t="s">
        <v>276</v>
      </c>
      <c r="AE44" s="2" t="s">
        <v>277</v>
      </c>
      <c r="AF44" s="2" t="s">
        <v>531</v>
      </c>
      <c r="AG44" s="2" t="s">
        <v>105</v>
      </c>
      <c r="AH44" s="8">
        <v>0.32</v>
      </c>
      <c r="AI44" s="7">
        <v>0.32</v>
      </c>
      <c r="AJ44" s="2" t="s">
        <v>532</v>
      </c>
      <c r="AK44" s="2">
        <v>168</v>
      </c>
      <c r="AL44" s="2">
        <v>5</v>
      </c>
      <c r="AM44" s="2" t="s">
        <v>533</v>
      </c>
      <c r="AN44" s="7">
        <v>0.4556</v>
      </c>
      <c r="AO44" s="2" t="s">
        <v>534</v>
      </c>
      <c r="AP44" s="2">
        <v>13</v>
      </c>
      <c r="AQ44" s="2" t="s">
        <v>535</v>
      </c>
      <c r="AR44" s="2" t="s">
        <v>90</v>
      </c>
      <c r="AS44" s="1" t="s">
        <v>382</v>
      </c>
      <c r="AT44" s="15">
        <v>0.86</v>
      </c>
      <c r="AU44" s="2" t="s">
        <v>66</v>
      </c>
      <c r="AV44" s="2" t="s">
        <v>536</v>
      </c>
      <c r="AW44" s="22">
        <v>961.25</v>
      </c>
      <c r="AX44" s="2" t="s">
        <v>68</v>
      </c>
      <c r="AY44" s="2" t="s">
        <v>420</v>
      </c>
      <c r="AZ44" s="2" t="s">
        <v>70</v>
      </c>
      <c r="BA44" s="2" t="s">
        <v>70</v>
      </c>
      <c r="BB44" s="2" t="s">
        <v>537</v>
      </c>
      <c r="BC44" s="2" t="s">
        <v>385</v>
      </c>
      <c r="BD44" s="2" t="s">
        <v>538</v>
      </c>
      <c r="BE44" s="2" t="s">
        <v>1139</v>
      </c>
    </row>
    <row r="45" spans="1:57" ht="19">
      <c r="A45" s="1" t="s">
        <v>795</v>
      </c>
      <c r="B45" s="1" t="s">
        <v>1132</v>
      </c>
      <c r="C45" s="2" t="s">
        <v>869</v>
      </c>
      <c r="D45" s="3" t="str">
        <f t="shared" si="0"/>
        <v>504 竹城宇治</v>
      </c>
      <c r="E45" s="3" t="s">
        <v>879</v>
      </c>
      <c r="F45" s="4" t="s">
        <v>884</v>
      </c>
      <c r="G45" s="2" t="s">
        <v>885</v>
      </c>
      <c r="H45" s="14">
        <v>30</v>
      </c>
      <c r="I45" s="14">
        <v>30</v>
      </c>
      <c r="J45" s="14">
        <f t="shared" si="1"/>
        <v>30</v>
      </c>
      <c r="N45" s="2" t="s">
        <v>886</v>
      </c>
      <c r="O45" s="13">
        <v>170</v>
      </c>
      <c r="P45" s="13">
        <v>185</v>
      </c>
      <c r="Q45" s="2" t="s">
        <v>47</v>
      </c>
      <c r="R45" s="2" t="s">
        <v>703</v>
      </c>
      <c r="S45" s="2" t="s">
        <v>79</v>
      </c>
      <c r="T45" s="2" t="s">
        <v>1004</v>
      </c>
      <c r="U45" s="2" t="s">
        <v>49</v>
      </c>
      <c r="V45" s="2" t="s">
        <v>887</v>
      </c>
      <c r="W45" s="2" t="s">
        <v>81</v>
      </c>
      <c r="X45" s="2" t="s">
        <v>770</v>
      </c>
      <c r="Y45" s="2" t="s">
        <v>52</v>
      </c>
      <c r="Z45" s="2" t="s">
        <v>888</v>
      </c>
      <c r="AA45" s="2" t="s">
        <v>888</v>
      </c>
      <c r="AB45" s="2" t="s">
        <v>889</v>
      </c>
      <c r="AC45" s="2" t="s">
        <v>276</v>
      </c>
      <c r="AD45" s="2" t="s">
        <v>276</v>
      </c>
      <c r="AE45" s="2" t="s">
        <v>890</v>
      </c>
      <c r="AF45" s="2" t="s">
        <v>889</v>
      </c>
      <c r="AG45" s="2" t="s">
        <v>891</v>
      </c>
      <c r="AH45" s="7">
        <v>0.315</v>
      </c>
      <c r="AI45" s="7">
        <v>0.315</v>
      </c>
      <c r="AJ45" s="2" t="s">
        <v>892</v>
      </c>
      <c r="AK45" s="2">
        <v>103</v>
      </c>
      <c r="AL45" s="2">
        <v>6</v>
      </c>
      <c r="AM45" s="7">
        <v>0.45700000000000002</v>
      </c>
      <c r="AN45" s="7">
        <v>0.45700000000000002</v>
      </c>
      <c r="AO45" s="2" t="s">
        <v>893</v>
      </c>
      <c r="AP45" s="2">
        <v>13</v>
      </c>
      <c r="AQ45" s="7" t="s">
        <v>894</v>
      </c>
      <c r="AR45" s="2" t="s">
        <v>616</v>
      </c>
      <c r="AS45" s="1" t="s">
        <v>895</v>
      </c>
      <c r="AT45" s="15">
        <v>0.75</v>
      </c>
      <c r="AU45" s="2" t="s">
        <v>66</v>
      </c>
      <c r="AV45" s="2" t="s">
        <v>896</v>
      </c>
      <c r="AW45" s="22">
        <v>638.13</v>
      </c>
      <c r="AX45" s="2" t="s">
        <v>68</v>
      </c>
      <c r="AY45" s="2" t="s">
        <v>420</v>
      </c>
      <c r="BB45" s="12" t="s">
        <v>897</v>
      </c>
      <c r="BC45" s="2" t="s">
        <v>733</v>
      </c>
      <c r="BD45" s="2" t="s">
        <v>898</v>
      </c>
      <c r="BE45" s="2" t="s">
        <v>1139</v>
      </c>
    </row>
    <row r="46" spans="1:57">
      <c r="A46" s="1" t="s">
        <v>870</v>
      </c>
      <c r="B46" s="1" t="s">
        <v>1132</v>
      </c>
      <c r="C46" s="2" t="s">
        <v>796</v>
      </c>
      <c r="D46" s="3" t="str">
        <f t="shared" si="0"/>
        <v>505 櫻花澍</v>
      </c>
      <c r="E46" s="3" t="s">
        <v>799</v>
      </c>
      <c r="F46" s="9" t="s">
        <v>852</v>
      </c>
      <c r="G46" s="2" t="s">
        <v>853</v>
      </c>
      <c r="H46" s="14">
        <v>28</v>
      </c>
      <c r="I46" s="14">
        <v>32</v>
      </c>
      <c r="J46" s="14">
        <f t="shared" si="1"/>
        <v>30</v>
      </c>
      <c r="K46" s="2" t="s">
        <v>947</v>
      </c>
      <c r="L46" s="9" t="s">
        <v>946</v>
      </c>
      <c r="N46" s="2" t="s">
        <v>854</v>
      </c>
      <c r="O46" s="13">
        <v>165</v>
      </c>
      <c r="P46" s="13">
        <v>195</v>
      </c>
      <c r="Q46" s="2" t="s">
        <v>47</v>
      </c>
      <c r="R46" s="2" t="s">
        <v>703</v>
      </c>
      <c r="S46" s="2" t="s">
        <v>672</v>
      </c>
      <c r="T46" s="2" t="s">
        <v>1008</v>
      </c>
      <c r="U46" s="2" t="s">
        <v>49</v>
      </c>
      <c r="V46" s="2" t="s">
        <v>855</v>
      </c>
      <c r="W46" s="2" t="s">
        <v>407</v>
      </c>
      <c r="X46" s="2" t="s">
        <v>770</v>
      </c>
      <c r="Y46" s="2" t="s">
        <v>52</v>
      </c>
      <c r="Z46" s="2" t="s">
        <v>858</v>
      </c>
      <c r="AA46" s="2" t="s">
        <v>859</v>
      </c>
      <c r="AB46" s="2" t="s">
        <v>856</v>
      </c>
      <c r="AC46" s="2" t="s">
        <v>857</v>
      </c>
      <c r="AD46" s="2" t="s">
        <v>857</v>
      </c>
      <c r="AE46" s="2" t="s">
        <v>552</v>
      </c>
      <c r="AF46" s="2" t="s">
        <v>860</v>
      </c>
      <c r="AG46" s="2" t="s">
        <v>861</v>
      </c>
      <c r="AH46" s="8">
        <v>0.32</v>
      </c>
      <c r="AI46" s="7">
        <v>0.32</v>
      </c>
      <c r="AJ46" s="2" t="s">
        <v>862</v>
      </c>
      <c r="AK46" s="2">
        <v>106</v>
      </c>
      <c r="AL46" s="2">
        <v>2</v>
      </c>
      <c r="AM46" s="7">
        <v>0.38140000000000002</v>
      </c>
      <c r="AN46" s="7">
        <v>0.38140000000000002</v>
      </c>
      <c r="AO46" s="2" t="s">
        <v>863</v>
      </c>
      <c r="AP46" s="2">
        <v>14</v>
      </c>
      <c r="AQ46" s="2" t="s">
        <v>864</v>
      </c>
      <c r="AR46" s="2" t="s">
        <v>865</v>
      </c>
      <c r="AS46" s="1" t="s">
        <v>596</v>
      </c>
      <c r="AT46" s="15">
        <v>1</v>
      </c>
      <c r="AU46" s="2" t="s">
        <v>66</v>
      </c>
      <c r="AV46" s="2" t="s">
        <v>866</v>
      </c>
      <c r="AW46" s="22">
        <v>602.07000000000005</v>
      </c>
      <c r="AX46" s="2" t="s">
        <v>68</v>
      </c>
      <c r="AY46" s="2" t="s">
        <v>420</v>
      </c>
      <c r="BA46" s="2" t="s">
        <v>70</v>
      </c>
      <c r="BB46" s="2" t="s">
        <v>867</v>
      </c>
      <c r="BC46" s="2" t="s">
        <v>683</v>
      </c>
      <c r="BD46" s="2" t="s">
        <v>70</v>
      </c>
      <c r="BE46" s="2" t="s">
        <v>1139</v>
      </c>
    </row>
    <row r="47" spans="1:57">
      <c r="A47" s="1" t="s">
        <v>872</v>
      </c>
      <c r="B47" s="1" t="s">
        <v>1132</v>
      </c>
      <c r="C47" s="2" t="s">
        <v>871</v>
      </c>
      <c r="D47" s="3" t="str">
        <f t="shared" si="0"/>
        <v>506 遠雄文青</v>
      </c>
      <c r="E47" s="3" t="s">
        <v>880</v>
      </c>
      <c r="F47" s="9" t="s">
        <v>902</v>
      </c>
      <c r="G47" s="2" t="s">
        <v>1147</v>
      </c>
      <c r="H47" s="14">
        <v>15</v>
      </c>
      <c r="I47" s="14">
        <v>15</v>
      </c>
      <c r="J47" s="14">
        <f t="shared" si="1"/>
        <v>15</v>
      </c>
      <c r="K47" s="2" t="s">
        <v>945</v>
      </c>
      <c r="L47" s="9" t="s">
        <v>944</v>
      </c>
      <c r="Q47" s="2" t="s">
        <v>47</v>
      </c>
      <c r="R47" s="2" t="s">
        <v>703</v>
      </c>
      <c r="S47" s="2" t="s">
        <v>79</v>
      </c>
      <c r="T47" s="2" t="s">
        <v>1004</v>
      </c>
      <c r="U47" s="2" t="s">
        <v>49</v>
      </c>
      <c r="W47" s="2" t="s">
        <v>81</v>
      </c>
      <c r="X47" s="2" t="s">
        <v>770</v>
      </c>
      <c r="Y47" s="2" t="s">
        <v>52</v>
      </c>
      <c r="Z47" s="2" t="s">
        <v>905</v>
      </c>
      <c r="AA47" s="2" t="s">
        <v>905</v>
      </c>
      <c r="AC47" s="2" t="s">
        <v>645</v>
      </c>
      <c r="AD47" s="2" t="s">
        <v>645</v>
      </c>
      <c r="AK47" s="2">
        <v>1272</v>
      </c>
      <c r="AU47" s="2" t="s">
        <v>66</v>
      </c>
      <c r="AX47" s="2" t="s">
        <v>68</v>
      </c>
      <c r="AY47" s="2" t="s">
        <v>420</v>
      </c>
      <c r="BE47" s="2" t="s">
        <v>1139</v>
      </c>
    </row>
    <row r="48" spans="1:57">
      <c r="A48" s="1" t="s">
        <v>873</v>
      </c>
      <c r="B48" s="1" t="s">
        <v>1132</v>
      </c>
      <c r="C48" s="2" t="s">
        <v>876</v>
      </c>
      <c r="D48" s="3" t="str">
        <f t="shared" si="0"/>
        <v>507 皇翔歡喜城</v>
      </c>
      <c r="E48" s="3" t="s">
        <v>881</v>
      </c>
      <c r="F48" s="9" t="s">
        <v>904</v>
      </c>
      <c r="G48" s="2" t="s">
        <v>1148</v>
      </c>
      <c r="H48" s="14">
        <v>15</v>
      </c>
      <c r="I48" s="14">
        <v>15</v>
      </c>
      <c r="J48" s="14">
        <f t="shared" si="1"/>
        <v>15</v>
      </c>
      <c r="K48" s="2" t="s">
        <v>943</v>
      </c>
      <c r="L48" s="9" t="s">
        <v>942</v>
      </c>
      <c r="Q48" s="2" t="s">
        <v>47</v>
      </c>
      <c r="R48" s="2" t="s">
        <v>703</v>
      </c>
      <c r="S48" s="2" t="s">
        <v>79</v>
      </c>
      <c r="T48" s="2" t="s">
        <v>1004</v>
      </c>
      <c r="U48" s="2" t="s">
        <v>49</v>
      </c>
      <c r="W48" s="2" t="s">
        <v>81</v>
      </c>
      <c r="X48" s="2" t="s">
        <v>770</v>
      </c>
      <c r="Y48" s="2" t="s">
        <v>52</v>
      </c>
      <c r="Z48" s="2" t="s">
        <v>903</v>
      </c>
      <c r="AC48" s="2" t="s">
        <v>899</v>
      </c>
      <c r="AD48" s="2" t="s">
        <v>899</v>
      </c>
      <c r="AK48" s="2">
        <v>1780</v>
      </c>
      <c r="AU48" s="2" t="s">
        <v>66</v>
      </c>
      <c r="AX48" s="2" t="s">
        <v>68</v>
      </c>
      <c r="AY48" s="2" t="s">
        <v>420</v>
      </c>
      <c r="BE48" s="2" t="s">
        <v>1139</v>
      </c>
    </row>
    <row r="49" spans="1:57">
      <c r="A49" s="1" t="s">
        <v>874</v>
      </c>
      <c r="B49" s="1" t="s">
        <v>1132</v>
      </c>
      <c r="C49" s="2" t="s">
        <v>877</v>
      </c>
      <c r="D49" s="3" t="str">
        <f t="shared" si="0"/>
        <v>508 名軒快樂家</v>
      </c>
      <c r="E49" s="3" t="s">
        <v>882</v>
      </c>
      <c r="F49" s="9" t="s">
        <v>906</v>
      </c>
      <c r="G49" s="2" t="s">
        <v>1149</v>
      </c>
      <c r="H49" s="14">
        <v>15</v>
      </c>
      <c r="I49" s="14">
        <v>15</v>
      </c>
      <c r="J49" s="14">
        <f t="shared" si="1"/>
        <v>15</v>
      </c>
      <c r="K49" s="2" t="s">
        <v>941</v>
      </c>
      <c r="L49" s="9" t="s">
        <v>940</v>
      </c>
      <c r="Q49" s="2" t="s">
        <v>47</v>
      </c>
      <c r="R49" s="2" t="s">
        <v>703</v>
      </c>
      <c r="S49" s="2" t="s">
        <v>79</v>
      </c>
      <c r="T49" s="2" t="s">
        <v>1004</v>
      </c>
      <c r="U49" s="2" t="s">
        <v>49</v>
      </c>
      <c r="W49" s="2" t="s">
        <v>81</v>
      </c>
      <c r="X49" s="2" t="s">
        <v>770</v>
      </c>
      <c r="Y49" s="2" t="s">
        <v>52</v>
      </c>
      <c r="Z49" s="2" t="s">
        <v>907</v>
      </c>
      <c r="AC49" s="2" t="s">
        <v>900</v>
      </c>
      <c r="AD49" s="2" t="s">
        <v>900</v>
      </c>
      <c r="AK49" s="2">
        <v>514</v>
      </c>
      <c r="AU49" s="2" t="s">
        <v>66</v>
      </c>
      <c r="AX49" s="2" t="s">
        <v>68</v>
      </c>
      <c r="AY49" s="2" t="s">
        <v>420</v>
      </c>
      <c r="BE49" s="2" t="s">
        <v>1139</v>
      </c>
    </row>
    <row r="50" spans="1:57">
      <c r="A50" s="1" t="s">
        <v>875</v>
      </c>
      <c r="B50" s="1" t="s">
        <v>1132</v>
      </c>
      <c r="C50" s="2" t="s">
        <v>878</v>
      </c>
      <c r="D50" s="3" t="str">
        <f t="shared" si="0"/>
        <v>509 麗寶快樂家</v>
      </c>
      <c r="E50" s="3" t="s">
        <v>883</v>
      </c>
      <c r="F50" s="9" t="s">
        <v>908</v>
      </c>
      <c r="G50" s="2" t="s">
        <v>1150</v>
      </c>
      <c r="H50" s="14">
        <v>15</v>
      </c>
      <c r="I50" s="14">
        <v>15</v>
      </c>
      <c r="J50" s="14">
        <f t="shared" si="1"/>
        <v>15</v>
      </c>
      <c r="K50" s="2" t="s">
        <v>939</v>
      </c>
      <c r="L50" s="9" t="s">
        <v>938</v>
      </c>
      <c r="Q50" s="2" t="s">
        <v>47</v>
      </c>
      <c r="R50" s="2" t="s">
        <v>703</v>
      </c>
      <c r="S50" s="2" t="s">
        <v>79</v>
      </c>
      <c r="T50" s="2" t="s">
        <v>1004</v>
      </c>
      <c r="U50" s="2" t="s">
        <v>49</v>
      </c>
      <c r="W50" s="2" t="s">
        <v>81</v>
      </c>
      <c r="X50" s="2" t="s">
        <v>770</v>
      </c>
      <c r="Y50" s="2" t="s">
        <v>52</v>
      </c>
      <c r="Z50" s="2" t="s">
        <v>909</v>
      </c>
      <c r="AC50" s="2" t="s">
        <v>901</v>
      </c>
      <c r="AD50" s="2" t="s">
        <v>901</v>
      </c>
      <c r="AK50" s="2">
        <v>897</v>
      </c>
      <c r="AU50" s="2" t="s">
        <v>66</v>
      </c>
      <c r="AX50" s="2" t="s">
        <v>68</v>
      </c>
      <c r="AY50" s="2" t="s">
        <v>420</v>
      </c>
      <c r="BE50" s="2" t="s">
        <v>1139</v>
      </c>
    </row>
    <row r="69" spans="43:43">
      <c r="AQ69" s="22"/>
    </row>
    <row r="70" spans="43:43">
      <c r="AQ70" s="22"/>
    </row>
    <row r="71" spans="43:43">
      <c r="AQ71" s="22"/>
    </row>
    <row r="72" spans="43:43">
      <c r="AQ72" s="22"/>
    </row>
    <row r="73" spans="43:43">
      <c r="AQ73" s="22"/>
    </row>
    <row r="74" spans="43:43">
      <c r="AQ74" s="22"/>
    </row>
    <row r="75" spans="43:43">
      <c r="AQ75" s="22"/>
    </row>
    <row r="76" spans="43:43">
      <c r="AQ76" s="22"/>
    </row>
    <row r="77" spans="43:43">
      <c r="AQ77" s="22"/>
    </row>
    <row r="78" spans="43:43">
      <c r="AQ78" s="22"/>
    </row>
    <row r="79" spans="43:43">
      <c r="AQ79" s="22"/>
    </row>
    <row r="80" spans="43:43">
      <c r="AQ80" s="22"/>
    </row>
    <row r="81" spans="43:43">
      <c r="AQ81" s="22"/>
    </row>
    <row r="82" spans="43:43">
      <c r="AQ82" s="22"/>
    </row>
    <row r="83" spans="43:43">
      <c r="AQ83" s="22"/>
    </row>
    <row r="84" spans="43:43">
      <c r="AQ84" s="22"/>
    </row>
    <row r="85" spans="43:43">
      <c r="AQ85" s="22"/>
    </row>
    <row r="86" spans="43:43">
      <c r="AQ86" s="22"/>
    </row>
    <row r="87" spans="43:43">
      <c r="AQ87" s="22"/>
    </row>
    <row r="88" spans="43:43">
      <c r="AQ88" s="22"/>
    </row>
    <row r="89" spans="43:43">
      <c r="AQ89" s="22"/>
    </row>
    <row r="90" spans="43:43">
      <c r="AQ90" s="22"/>
    </row>
    <row r="91" spans="43:43">
      <c r="AQ91" s="22"/>
    </row>
    <row r="92" spans="43:43">
      <c r="AQ92" s="22"/>
    </row>
    <row r="93" spans="43:43">
      <c r="AQ93" s="22"/>
    </row>
    <row r="94" spans="43:43">
      <c r="AQ94" s="22"/>
    </row>
    <row r="95" spans="43:43">
      <c r="AQ95" s="22"/>
    </row>
    <row r="96" spans="43:43">
      <c r="AQ96" s="22"/>
    </row>
    <row r="97" spans="43:43">
      <c r="AQ97" s="22"/>
    </row>
    <row r="98" spans="43:43">
      <c r="AQ98" s="22"/>
    </row>
    <row r="99" spans="43:43">
      <c r="AQ99" s="22"/>
    </row>
    <row r="100" spans="43:43">
      <c r="AQ100" s="22"/>
    </row>
    <row r="101" spans="43:43">
      <c r="AQ101" s="22"/>
    </row>
    <row r="102" spans="43:43">
      <c r="AQ102" s="22"/>
    </row>
    <row r="103" spans="43:43">
      <c r="AQ103" s="22"/>
    </row>
    <row r="104" spans="43:43">
      <c r="AQ104" s="22"/>
    </row>
    <row r="105" spans="43:43">
      <c r="AQ105" s="22"/>
    </row>
    <row r="106" spans="43:43">
      <c r="AQ106" s="22"/>
    </row>
    <row r="107" spans="43:43">
      <c r="AQ107" s="22"/>
    </row>
    <row r="108" spans="43:43">
      <c r="AQ108" s="22"/>
    </row>
    <row r="109" spans="43:43">
      <c r="AQ109" s="22"/>
    </row>
    <row r="110" spans="43:43">
      <c r="AQ110" s="22"/>
    </row>
    <row r="111" spans="43:43">
      <c r="AQ111" s="22"/>
    </row>
    <row r="112" spans="43:43">
      <c r="AQ112" s="22"/>
    </row>
    <row r="113" spans="43:43">
      <c r="AQ113" s="22"/>
    </row>
  </sheetData>
  <sortState xmlns:xlrd2="http://schemas.microsoft.com/office/spreadsheetml/2017/richdata2" ref="A2:BD44">
    <sortCondition ref="A2:A44"/>
  </sortState>
  <phoneticPr fontId="2" type="noConversion"/>
  <hyperlinks>
    <hyperlink ref="F27" r:id="rId1" xr:uid="{2586FB32-83C9-5143-BB4F-058E832A82A0}"/>
    <hyperlink ref="F13" r:id="rId2" xr:uid="{3087E43A-F3CE-F048-8BC5-04F7F3819704}"/>
    <hyperlink ref="F28" r:id="rId3" xr:uid="{6AF4FAC2-25E8-6649-8584-A8B7FBE1E12C}"/>
    <hyperlink ref="F8" r:id="rId4" xr:uid="{B7A01F15-9F78-E74F-9C2C-7C193F5DFA66}"/>
    <hyperlink ref="F33" r:id="rId5" xr:uid="{A6A7777D-001D-3F4A-B294-A425F4327DBD}"/>
    <hyperlink ref="F20" r:id="rId6" xr:uid="{BA6B337B-529E-4748-A09D-B60E53C89698}"/>
    <hyperlink ref="F5" r:id="rId7" xr:uid="{0C52B2DD-F5F8-BC4D-8DC3-498C7B4F9507}"/>
    <hyperlink ref="F22" r:id="rId8" xr:uid="{45967181-1A6F-B244-BC8B-055BD4A62DDA}"/>
    <hyperlink ref="F11" r:id="rId9" xr:uid="{84287109-986F-F041-A592-89EB4754FA7C}"/>
    <hyperlink ref="F37" r:id="rId10" xr:uid="{DF2175D6-71A9-1F40-9888-86F0CAE925C5}"/>
    <hyperlink ref="F7" r:id="rId11" xr:uid="{5A8004AB-DA86-624F-A1F2-99000FF4DA4D}"/>
    <hyperlink ref="F29" r:id="rId12" xr:uid="{291F978A-7A87-C148-8A37-04BE3AA210F0}"/>
    <hyperlink ref="F30" r:id="rId13" xr:uid="{93C369C5-98A4-5443-BB4D-73F694BFD636}"/>
    <hyperlink ref="F3" r:id="rId14" xr:uid="{46A7479C-AC00-9C4C-8C39-8C74AC400E29}"/>
    <hyperlink ref="F14" r:id="rId15" xr:uid="{D13DF7E0-51EF-1F40-BB1A-D54222E58799}"/>
    <hyperlink ref="F4" r:id="rId16" xr:uid="{701D45D1-AE7B-064A-914A-8D279DAB28BC}"/>
    <hyperlink ref="F10" r:id="rId17" xr:uid="{79D560BB-9F4C-984C-9EDF-F77F2A3C575D}"/>
    <hyperlink ref="F18" r:id="rId18" xr:uid="{4CFF8BBA-796B-4643-AC66-6088096596A4}"/>
    <hyperlink ref="F32" r:id="rId19" xr:uid="{EEFF5154-7C3B-BE42-8567-516A74F0AFAB}"/>
    <hyperlink ref="F44" r:id="rId20" xr:uid="{68483CFF-7E4D-304F-A665-AA969647A78D}"/>
    <hyperlink ref="F17" r:id="rId21" xr:uid="{CC68842D-6E44-D541-B251-0A817FC7969B}"/>
    <hyperlink ref="F9" r:id="rId22" xr:uid="{35CB2CAD-A5DF-5C4F-8785-F6AC69FE7D5D}"/>
    <hyperlink ref="F38" r:id="rId23" xr:uid="{832556FF-3A35-AE42-9D5A-01FAF6FE48C4}"/>
    <hyperlink ref="F2" r:id="rId24" xr:uid="{54568861-9615-0A45-A221-897BA104A2A8}"/>
    <hyperlink ref="F6" r:id="rId25" xr:uid="{AAC3965B-AFC6-8943-9568-CBEAF5CEE991}"/>
    <hyperlink ref="F16" r:id="rId26" xr:uid="{92835801-E3D7-6342-A65F-227FB99750A5}"/>
    <hyperlink ref="F24" r:id="rId27" xr:uid="{9FB278BD-A4AC-2447-A69A-C2953CBDA20A}"/>
    <hyperlink ref="F36" r:id="rId28" xr:uid="{BECB3109-A83C-9D45-8DB6-05FB957668F1}"/>
    <hyperlink ref="F35" r:id="rId29" xr:uid="{17D902E2-053F-CC42-A2AC-32B683131EBC}"/>
    <hyperlink ref="F31" r:id="rId30" xr:uid="{8BA9AAE8-4EFB-A146-AD00-A72861F255C6}"/>
    <hyperlink ref="F34" r:id="rId31" xr:uid="{3FE86DDB-0A0E-A94C-B6BA-89A958520378}"/>
    <hyperlink ref="F42" r:id="rId32" xr:uid="{6BB9142A-9EBA-1441-B76F-B5C502E3E054}"/>
    <hyperlink ref="F43" r:id="rId33" xr:uid="{36D90122-15CB-6445-A131-F3F427537159}"/>
    <hyperlink ref="F21" r:id="rId34" xr:uid="{FA4E2A9E-0C8C-1B4D-83FD-FA2DA91684B4}"/>
    <hyperlink ref="F19" r:id="rId35" xr:uid="{E18CF7F2-FDD1-374F-B631-23FC6170DB71}"/>
    <hyperlink ref="F26" r:id="rId36" xr:uid="{D8D42D71-0A53-6F46-B8BA-5FC8C940A579}"/>
    <hyperlink ref="F25" r:id="rId37" xr:uid="{4843720B-CC59-0342-A13F-09B09A71D45E}"/>
    <hyperlink ref="F15" r:id="rId38" xr:uid="{7CBAF161-7EC5-C248-A10A-44C219139D0B}"/>
    <hyperlink ref="F39" r:id="rId39" xr:uid="{22DC5507-CC56-864E-8BC4-985EEC27213D}"/>
    <hyperlink ref="F46" r:id="rId40" xr:uid="{5898C354-B224-A240-A9FF-9CBE55D3B711}"/>
    <hyperlink ref="F45" r:id="rId41" xr:uid="{B26DC40D-168C-044B-BAB7-24C974CE81F4}"/>
    <hyperlink ref="F47" r:id="rId42" xr:uid="{FA416C5F-52F6-FD4B-B17C-2122B959E022}"/>
    <hyperlink ref="F48" r:id="rId43" xr:uid="{C5E74B53-4F4F-3545-8B13-C8835441B684}"/>
    <hyperlink ref="F49" r:id="rId44" xr:uid="{A3A70E41-D9C4-D74F-BF46-406D278A338D}"/>
    <hyperlink ref="F50" r:id="rId45" xr:uid="{70FDDF65-CF5C-204D-A285-F382553E7D5E}"/>
    <hyperlink ref="F40" r:id="rId46" xr:uid="{013869AD-3839-9949-BD78-138181727368}"/>
    <hyperlink ref="L50" r:id="rId47" xr:uid="{45E5744C-2297-5249-919F-E8100A7412C2}"/>
    <hyperlink ref="L49" r:id="rId48" xr:uid="{2ABBD1D3-4997-E643-B81B-99C7652DBF8E}"/>
    <hyperlink ref="L48" r:id="rId49" xr:uid="{A9611226-F1F2-8845-B4F2-E24216072372}"/>
    <hyperlink ref="L47" r:id="rId50" xr:uid="{7EC0A553-B3B8-7F44-9C11-54ED356A5137}"/>
    <hyperlink ref="L46" r:id="rId51" xr:uid="{5EFC57F9-D69B-CD4C-B170-34B84F99466D}"/>
    <hyperlink ref="L32" r:id="rId52" xr:uid="{D5178C7D-72D8-1C45-A46F-C5BE87520D74}"/>
    <hyperlink ref="L28" r:id="rId53" xr:uid="{C439EE12-B738-614D-9659-C664A5927CDF}"/>
    <hyperlink ref="L27" r:id="rId54" xr:uid="{B5963B89-4E6B-BE4A-BFF9-C91A4C5DD556}"/>
    <hyperlink ref="L24" r:id="rId55" xr:uid="{78663025-8F04-F842-9C43-15B19CD89A27}"/>
    <hyperlink ref="L20" r:id="rId56" xr:uid="{F9795351-78C0-5647-B13A-6B9CA2A4852F}"/>
    <hyperlink ref="L19" r:id="rId57" xr:uid="{E9E739D1-05BF-0143-94D3-A8770BAC0EC3}"/>
    <hyperlink ref="L13" r:id="rId58" xr:uid="{E2EBE5B8-46EF-F444-83C1-DC75351B9475}"/>
    <hyperlink ref="L12" r:id="rId59" xr:uid="{BCDE8407-65EE-BF42-90E3-D19E9AE73C6B}"/>
    <hyperlink ref="L8" r:id="rId60" xr:uid="{72D8EA79-1383-EE44-AA01-F26EFCD2CD24}"/>
    <hyperlink ref="L5" r:id="rId61" xr:uid="{F3D01D5C-AFFF-264E-A582-4DD0DDFC84C7}"/>
    <hyperlink ref="L4" r:id="rId62" xr:uid="{84C54EA4-D033-AC43-947A-36013AC503E3}"/>
    <hyperlink ref="F41" r:id="rId63" xr:uid="{5D605B83-C0B5-6247-8E1F-76A070BB09F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F3EDA-67FF-1141-88FB-67CF8719809C}">
  <dimension ref="A1:B19"/>
  <sheetViews>
    <sheetView tabSelected="1" topLeftCell="A4" workbookViewId="0">
      <selection activeCell="Q30" sqref="Q30"/>
    </sheetView>
  </sheetViews>
  <sheetFormatPr baseColWidth="10" defaultRowHeight="15"/>
  <cols>
    <col min="1" max="1" width="12.6640625" bestFit="1" customWidth="1"/>
    <col min="2" max="2" width="21.1640625" bestFit="1" customWidth="1"/>
  </cols>
  <sheetData>
    <row r="1" spans="1:2">
      <c r="A1" s="16" t="s">
        <v>1134</v>
      </c>
      <c r="B1" t="s">
        <v>1026</v>
      </c>
    </row>
    <row r="3" spans="1:2">
      <c r="A3" s="16" t="s">
        <v>1024</v>
      </c>
      <c r="B3" t="s">
        <v>1133</v>
      </c>
    </row>
    <row r="4" spans="1:2">
      <c r="A4" s="17" t="s">
        <v>1099</v>
      </c>
      <c r="B4" s="23">
        <v>36.5</v>
      </c>
    </row>
    <row r="5" spans="1:2">
      <c r="A5" s="17" t="s">
        <v>1098</v>
      </c>
      <c r="B5" s="23">
        <v>35.5</v>
      </c>
    </row>
    <row r="6" spans="1:2">
      <c r="A6" s="17" t="s">
        <v>1107</v>
      </c>
      <c r="B6" s="23">
        <v>34</v>
      </c>
    </row>
    <row r="7" spans="1:2">
      <c r="A7" s="17" t="s">
        <v>168</v>
      </c>
      <c r="B7" s="23">
        <v>34</v>
      </c>
    </row>
    <row r="8" spans="1:2">
      <c r="A8" s="17" t="s">
        <v>1100</v>
      </c>
      <c r="B8" s="23">
        <v>33.5</v>
      </c>
    </row>
    <row r="9" spans="1:2">
      <c r="A9" s="17" t="s">
        <v>1109</v>
      </c>
      <c r="B9" s="23">
        <v>31.25</v>
      </c>
    </row>
    <row r="10" spans="1:2">
      <c r="A10" s="17" t="s">
        <v>1112</v>
      </c>
      <c r="B10" s="23">
        <v>30</v>
      </c>
    </row>
    <row r="11" spans="1:2">
      <c r="A11" s="17" t="s">
        <v>1102</v>
      </c>
      <c r="B11" s="23">
        <v>29.9</v>
      </c>
    </row>
    <row r="12" spans="1:2">
      <c r="A12" s="17" t="s">
        <v>474</v>
      </c>
      <c r="B12" s="23">
        <v>29.5</v>
      </c>
    </row>
    <row r="13" spans="1:2">
      <c r="A13" s="17" t="s">
        <v>276</v>
      </c>
      <c r="B13" s="23">
        <v>28.666666666666668</v>
      </c>
    </row>
    <row r="14" spans="1:2">
      <c r="A14" s="17" t="s">
        <v>1154</v>
      </c>
      <c r="B14" s="23">
        <v>28.5</v>
      </c>
    </row>
    <row r="15" spans="1:2">
      <c r="A15" s="17" t="s">
        <v>1156</v>
      </c>
      <c r="B15" s="23">
        <v>28</v>
      </c>
    </row>
    <row r="16" spans="1:2">
      <c r="A16" s="17" t="s">
        <v>1108</v>
      </c>
      <c r="B16" s="23">
        <v>28</v>
      </c>
    </row>
    <row r="17" spans="1:2">
      <c r="A17" s="17" t="s">
        <v>1152</v>
      </c>
      <c r="B17" s="23">
        <v>27.85</v>
      </c>
    </row>
    <row r="18" spans="1:2">
      <c r="A18" s="17" t="s">
        <v>317</v>
      </c>
      <c r="B18" s="23">
        <v>27.5</v>
      </c>
    </row>
    <row r="19" spans="1:2">
      <c r="A19" s="17" t="s">
        <v>1025</v>
      </c>
      <c r="B19" s="23">
        <v>29.815909090909091</v>
      </c>
    </row>
  </sheetData>
  <phoneticPr fontId="2" type="noConversion"/>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15</vt:i4>
      </vt:variant>
    </vt:vector>
  </HeadingPairs>
  <TitlesOfParts>
    <vt:vector size="15" baseType="lpstr">
      <vt:lpstr>Figure-1</vt:lpstr>
      <vt:lpstr>Figure-2</vt:lpstr>
      <vt:lpstr>Figure-4</vt:lpstr>
      <vt:lpstr>Figure-3</vt:lpstr>
      <vt:lpstr>Figure-5</vt:lpstr>
      <vt:lpstr>Figure-6</vt:lpstr>
      <vt:lpstr>Figure-7</vt:lpstr>
      <vt:lpstr>Figure-8</vt:lpstr>
      <vt:lpstr>Figure-9</vt:lpstr>
      <vt:lpstr>Figure-10</vt:lpstr>
      <vt:lpstr>Figure-11</vt:lpstr>
      <vt:lpstr>Analysis-01</vt:lpstr>
      <vt:lpstr>車位分配</vt:lpstr>
      <vt:lpstr>建案資料</vt:lpstr>
      <vt:lpstr>Figure-12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Tai-Chung Wang</dc:creator>
  <cp:lastModifiedBy>Tai-Chung Wang</cp:lastModifiedBy>
  <dcterms:created xsi:type="dcterms:W3CDTF">2021-04-29T05:46:56Z</dcterms:created>
  <dcterms:modified xsi:type="dcterms:W3CDTF">2021-10-02T23:03:27Z</dcterms:modified>
</cp:coreProperties>
</file>