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2/db/"/>
    </mc:Choice>
  </mc:AlternateContent>
  <xr:revisionPtr revIDLastSave="0" documentId="13_ncr:1_{FE1DC902-2BD5-8E4A-8501-70DCF11FD413}" xr6:coauthVersionLast="47" xr6:coauthVersionMax="47" xr10:uidLastSave="{00000000-0000-0000-0000-000000000000}"/>
  <bookViews>
    <workbookView xWindow="2540" yWindow="1200" windowWidth="36840" windowHeight="17320" activeTab="3" xr2:uid="{0FADB550-36F5-F74A-82E4-D4DB295C33B6}"/>
  </bookViews>
  <sheets>
    <sheet name="實價登錄" sheetId="2" r:id="rId1"/>
    <sheet name="Data" sheetId="3" r:id="rId2"/>
    <sheet name="分析" sheetId="6" r:id="rId3"/>
    <sheet name="分析-2" sheetId="7" r:id="rId4"/>
    <sheet name="Facebook " sheetId="4" r:id="rId5"/>
  </sheets>
  <definedNames>
    <definedName name="_xlchart.v1.0" hidden="1">'分析-2'!$B$101</definedName>
    <definedName name="_xlchart.v1.1" hidden="1">'分析-2'!$B$102:$B$116</definedName>
    <definedName name="_xlchart.v1.10" hidden="1">'分析-2'!$C$101</definedName>
    <definedName name="_xlchart.v1.11" hidden="1">'分析-2'!$C$102:$C$116</definedName>
    <definedName name="_xlchart.v1.12" hidden="1">'分析-2'!$B$101</definedName>
    <definedName name="_xlchart.v1.13" hidden="1">'分析-2'!$B$102:$B$116</definedName>
    <definedName name="_xlchart.v1.14" hidden="1">'分析-2'!$C$101</definedName>
    <definedName name="_xlchart.v1.15" hidden="1">'分析-2'!$C$102:$C$116</definedName>
    <definedName name="_xlchart.v1.16" hidden="1">'分析-2'!$B$101</definedName>
    <definedName name="_xlchart.v1.17" hidden="1">'分析-2'!$B$102:$B$116</definedName>
    <definedName name="_xlchart.v1.18" hidden="1">'分析-2'!$C$101</definedName>
    <definedName name="_xlchart.v1.19" hidden="1">'分析-2'!$C$102:$C$116</definedName>
    <definedName name="_xlchart.v1.2" hidden="1">'分析-2'!$C$101</definedName>
    <definedName name="_xlchart.v1.20" hidden="1">'分析-2'!$B$101</definedName>
    <definedName name="_xlchart.v1.21" hidden="1">'分析-2'!$B$102:$B$116</definedName>
    <definedName name="_xlchart.v1.22" hidden="1">'分析-2'!$C$101</definedName>
    <definedName name="_xlchart.v1.23" hidden="1">'分析-2'!$C$102:$C$116</definedName>
    <definedName name="_xlchart.v1.24" hidden="1">'分析-2'!$B$101</definedName>
    <definedName name="_xlchart.v1.25" hidden="1">'分析-2'!$B$102:$B$114</definedName>
    <definedName name="_xlchart.v1.26" hidden="1">'分析-2'!$C$101</definedName>
    <definedName name="_xlchart.v1.27" hidden="1">'分析-2'!$C$102:$C$114</definedName>
    <definedName name="_xlchart.v1.28" hidden="1">'分析-2'!$B$101</definedName>
    <definedName name="_xlchart.v1.29" hidden="1">'分析-2'!$B$102:$B$116</definedName>
    <definedName name="_xlchart.v1.3" hidden="1">'分析-2'!$C$102:$C$116</definedName>
    <definedName name="_xlchart.v1.30" hidden="1">'分析-2'!$C$101</definedName>
    <definedName name="_xlchart.v1.31" hidden="1">'分析-2'!$C$102:$C$116</definedName>
    <definedName name="_xlchart.v1.32" hidden="1">'分析-2'!$B$101</definedName>
    <definedName name="_xlchart.v1.33" hidden="1">'分析-2'!$B$102:$B$114</definedName>
    <definedName name="_xlchart.v1.34" hidden="1">'分析-2'!$C$101</definedName>
    <definedName name="_xlchart.v1.35" hidden="1">'分析-2'!$C$102:$C$114</definedName>
    <definedName name="_xlchart.v1.36" hidden="1">'分析-2'!$B$101</definedName>
    <definedName name="_xlchart.v1.37" hidden="1">'分析-2'!$B$102:$B$116</definedName>
    <definedName name="_xlchart.v1.38" hidden="1">'分析-2'!$C$101</definedName>
    <definedName name="_xlchart.v1.39" hidden="1">'分析-2'!$C$102:$C$116</definedName>
    <definedName name="_xlchart.v1.4" hidden="1">'分析-2'!$B$101</definedName>
    <definedName name="_xlchart.v1.5" hidden="1">'分析-2'!$B$102:$B$116</definedName>
    <definedName name="_xlchart.v1.6" hidden="1">'分析-2'!$C$101</definedName>
    <definedName name="_xlchart.v1.7" hidden="1">'分析-2'!$C$102:$C$116</definedName>
    <definedName name="_xlchart.v1.8" hidden="1">'分析-2'!$B$101</definedName>
    <definedName name="_xlchart.v1.9" hidden="1">'分析-2'!$B$102:$B$116</definedName>
  </definedNames>
  <calcPr calcId="191029"/>
  <pivotCaches>
    <pivotCache cacheId="7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7" i="3" l="1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<sst xmlns="http://schemas.openxmlformats.org/spreadsheetml/2006/main" count="2306" uniqueCount="425">
  <si>
    <t>地段位置或門牌</t>
  </si>
  <si>
    <t>總價(萬元)</t>
  </si>
  <si>
    <t>交易年月</t>
  </si>
  <si>
    <t>單價</t>
  </si>
  <si>
    <t>(萬元/坪)</t>
  </si>
  <si>
    <t>總面積</t>
  </si>
  <si>
    <t>(坪)</t>
  </si>
  <si>
    <t>主建物</t>
  </si>
  <si>
    <t>佔比(%)</t>
  </si>
  <si>
    <t>型態</t>
  </si>
  <si>
    <t>屋齡</t>
  </si>
  <si>
    <t>樓別/樓高</t>
  </si>
  <si>
    <t>交易標的</t>
  </si>
  <si>
    <t>交易筆棟數</t>
  </si>
  <si>
    <t>建物格局</t>
  </si>
  <si>
    <t>車位總價</t>
  </si>
  <si>
    <t>(萬元)</t>
  </si>
  <si>
    <t>管理組織</t>
  </si>
  <si>
    <t>電梯</t>
  </si>
  <si>
    <t>文青二路１１號十一樓之２</t>
  </si>
  <si>
    <t>110/06</t>
  </si>
  <si>
    <t>十一層/二十一層</t>
  </si>
  <si>
    <t>2房2廳1衛</t>
  </si>
  <si>
    <t>有</t>
  </si>
  <si>
    <t>文青二路８５號十五樓之９</t>
  </si>
  <si>
    <t>十五層/二十一層</t>
  </si>
  <si>
    <t>3房2廳2衛</t>
  </si>
  <si>
    <t>文青二路６７號十三樓之８</t>
  </si>
  <si>
    <t>110/05</t>
  </si>
  <si>
    <t>十三層/十九層</t>
  </si>
  <si>
    <t>文青二路８５號二十樓之１</t>
  </si>
  <si>
    <t>二十層/二十一層</t>
  </si>
  <si>
    <t>4房2廳2衛</t>
  </si>
  <si>
    <t>文青二路３３號</t>
  </si>
  <si>
    <t>一層/二十一層</t>
  </si>
  <si>
    <t>文青二路１號二十一樓之８</t>
  </si>
  <si>
    <t>二十一層/二十一層</t>
  </si>
  <si>
    <t>文青二路６７號十五樓之６</t>
  </si>
  <si>
    <t>十五層/十九層</t>
  </si>
  <si>
    <t>文青二路２１號四樓之８</t>
  </si>
  <si>
    <t>四層/二十一層</t>
  </si>
  <si>
    <t>文青二路１１號十七樓之７</t>
  </si>
  <si>
    <t>十七層/二十一層</t>
  </si>
  <si>
    <t>文青二路５３號十三樓之３</t>
  </si>
  <si>
    <t>文青二路３９號十五樓之７</t>
  </si>
  <si>
    <t>2房1廳1衛</t>
  </si>
  <si>
    <t>文青二路５３號五樓之９</t>
  </si>
  <si>
    <t>五層/十九層</t>
  </si>
  <si>
    <t>文青二路１１號十九樓之１</t>
  </si>
  <si>
    <t>十九層/二十一層</t>
  </si>
  <si>
    <t>文青二路１號九樓之２</t>
  </si>
  <si>
    <t>九層/二十一層</t>
  </si>
  <si>
    <t>文青二路２１號十二樓之５</t>
  </si>
  <si>
    <t>十二層/二十一層</t>
  </si>
  <si>
    <t>文青二路６７號五樓之７</t>
  </si>
  <si>
    <t>文青二路５３號十四樓之１</t>
  </si>
  <si>
    <t>十四層/十九層</t>
  </si>
  <si>
    <t>文青二路８５號八樓之５</t>
  </si>
  <si>
    <t>八層/二十一層</t>
  </si>
  <si>
    <t>文青二路１１號四樓之５</t>
  </si>
  <si>
    <t>文青二路１號十九樓之５</t>
  </si>
  <si>
    <t>2房2廳2衛</t>
  </si>
  <si>
    <t>文青二路２１號十八樓之１</t>
  </si>
  <si>
    <t>十八層/二十一層</t>
  </si>
  <si>
    <t>文青二路８５號十八樓之９</t>
  </si>
  <si>
    <t>110/04</t>
  </si>
  <si>
    <t>文青二路２１號十五樓之５</t>
  </si>
  <si>
    <t>4房1廳2衛</t>
  </si>
  <si>
    <t>文青二路３９號八樓之８</t>
  </si>
  <si>
    <t>八層/十九層</t>
  </si>
  <si>
    <t>文青二路５３號十樓之９</t>
  </si>
  <si>
    <t>十層/十九層</t>
  </si>
  <si>
    <t>文青二路２１號十六樓之７</t>
  </si>
  <si>
    <t>十六層/二十一層</t>
  </si>
  <si>
    <t>文青二路１號十八樓之５</t>
  </si>
  <si>
    <t>文青二路１號十二樓之２</t>
  </si>
  <si>
    <t>文青二路２１號八樓之９</t>
  </si>
  <si>
    <t>文青二路３９號八樓之９</t>
  </si>
  <si>
    <t>文青二路３９號十九樓之５</t>
  </si>
  <si>
    <t>十九層/十九層</t>
  </si>
  <si>
    <t>文青二路８５號六樓之３</t>
  </si>
  <si>
    <t>六層/二十一層</t>
  </si>
  <si>
    <t>文青二路１號十七樓之９</t>
  </si>
  <si>
    <t>文青二路６７號四樓之３</t>
  </si>
  <si>
    <t>110/03</t>
  </si>
  <si>
    <t>四層/十九層</t>
  </si>
  <si>
    <t>3房2廳1衛</t>
  </si>
  <si>
    <t>文青二路５９號</t>
  </si>
  <si>
    <t>110/01</t>
  </si>
  <si>
    <t>一層/十九層</t>
  </si>
  <si>
    <t>文青路３５１號十八樓之３</t>
  </si>
  <si>
    <t>十八層/二十二層</t>
  </si>
  <si>
    <t>文青路１７３號七樓之２</t>
  </si>
  <si>
    <t>七層/二十一層</t>
  </si>
  <si>
    <t>文青路１７５號二十一樓之３</t>
  </si>
  <si>
    <t>二十一層/二十三層</t>
  </si>
  <si>
    <t>文青路１６３號七樓之３</t>
  </si>
  <si>
    <t>七層/二十三層</t>
  </si>
  <si>
    <t>文青路１７３號十一樓之３</t>
  </si>
  <si>
    <t>文青路３４９號十五樓之５</t>
  </si>
  <si>
    <t>十五層/二十二層</t>
  </si>
  <si>
    <t>文青路１７５號二十一樓之２</t>
  </si>
  <si>
    <t>文青路３３９號十樓之５</t>
  </si>
  <si>
    <t>十層/二十二層</t>
  </si>
  <si>
    <t>文青路１７３號十一樓之９</t>
  </si>
  <si>
    <t>文青路１７９號二十一樓之９</t>
  </si>
  <si>
    <t>文青路３４１號三樓之５</t>
  </si>
  <si>
    <t>三層/二十二層</t>
  </si>
  <si>
    <t>文青路２０２號十一樓之８</t>
  </si>
  <si>
    <t>文青路１６９號五樓之３</t>
  </si>
  <si>
    <t>五層/二十三層</t>
  </si>
  <si>
    <t>文青路３４１號十三樓之５</t>
  </si>
  <si>
    <t>十三層/二十二層</t>
  </si>
  <si>
    <t>文青路１６３號二十一樓之８</t>
  </si>
  <si>
    <t>文青路１６９號五樓之２</t>
  </si>
  <si>
    <t>3房1廳2衛</t>
  </si>
  <si>
    <t>文青路１６５號十四樓之６</t>
  </si>
  <si>
    <t>十四層/二十層</t>
  </si>
  <si>
    <t>文青路２４６號十二樓之１</t>
  </si>
  <si>
    <t>十二層/十九層</t>
  </si>
  <si>
    <t>文青路１７１號十六樓之１</t>
  </si>
  <si>
    <t>十六層/二十層</t>
  </si>
  <si>
    <t>文青路３３７號八樓之５</t>
  </si>
  <si>
    <t>八層/二十三層</t>
  </si>
  <si>
    <t>文青路２９０號十七樓之２</t>
  </si>
  <si>
    <t>文青路３４８號二樓</t>
  </si>
  <si>
    <t>二層/十三層</t>
  </si>
  <si>
    <t>文青路１７１號十五樓之９</t>
  </si>
  <si>
    <t>十五層/二十層</t>
  </si>
  <si>
    <t>文青路１７３號二十樓之２</t>
  </si>
  <si>
    <t>文青路１６７號十八樓之３</t>
  </si>
  <si>
    <t>十八層/二十層</t>
  </si>
  <si>
    <t>文青路１７１號五樓之６</t>
  </si>
  <si>
    <t>五層/二十層</t>
  </si>
  <si>
    <t>文青路３７２號十一樓</t>
  </si>
  <si>
    <t>十一層/十三層</t>
  </si>
  <si>
    <t>文青路１７５號十五樓之８</t>
  </si>
  <si>
    <t>十五層/二十三層</t>
  </si>
  <si>
    <t>文青路３６２號十一樓</t>
  </si>
  <si>
    <t>文青路３５５號六樓之５</t>
  </si>
  <si>
    <t>六層/二十四層</t>
  </si>
  <si>
    <t>文青路２６８號十二樓之８</t>
  </si>
  <si>
    <t>文青路１７５號十九樓之１</t>
  </si>
  <si>
    <t>十九層/二十三層</t>
  </si>
  <si>
    <t>文青路１６７號十四樓之８</t>
  </si>
  <si>
    <t>文青路３６２號十三樓</t>
  </si>
  <si>
    <t>十三層/十三層</t>
  </si>
  <si>
    <t>文青路３４１號十七樓之５</t>
  </si>
  <si>
    <t>十七層/二十二層</t>
  </si>
  <si>
    <t>文青路１７５號十三樓之３</t>
  </si>
  <si>
    <t>十三層/二十三層</t>
  </si>
  <si>
    <t>文青路１６３號二十二樓之８</t>
  </si>
  <si>
    <t>二十二層/二十三層</t>
  </si>
  <si>
    <t>文青路１７１號五樓之７</t>
  </si>
  <si>
    <t>文青路１６５號十一樓之８</t>
  </si>
  <si>
    <t>十一層/二十層</t>
  </si>
  <si>
    <t>文青路１６３號二十一樓之９</t>
  </si>
  <si>
    <t>文青路１７１號十二樓之９</t>
  </si>
  <si>
    <t>十二層/二十層</t>
  </si>
  <si>
    <t>文青路１７９號十三樓之９</t>
  </si>
  <si>
    <t>文青路３３７號五樓之３</t>
  </si>
  <si>
    <t>文青路１６７號十一樓之３</t>
  </si>
  <si>
    <t>文青路１６５號十七樓之７</t>
  </si>
  <si>
    <t>十七層/二十層</t>
  </si>
  <si>
    <t>文青路１６３號十一樓之５</t>
  </si>
  <si>
    <t>十一層/二十三層</t>
  </si>
  <si>
    <t>文青路１７９號十樓之１</t>
  </si>
  <si>
    <t>十層/二十三層</t>
  </si>
  <si>
    <t>文青路１６７號七樓之６</t>
  </si>
  <si>
    <t>七層/二十層</t>
  </si>
  <si>
    <t>文青路２９０號十六樓之７</t>
  </si>
  <si>
    <t>文青路２２２號十九樓之６</t>
  </si>
  <si>
    <t>文青路３７２號十三樓</t>
  </si>
  <si>
    <t>文青路３６０號六樓</t>
  </si>
  <si>
    <t>六層/十三層</t>
  </si>
  <si>
    <t>文青路１７１號十七樓之９</t>
  </si>
  <si>
    <t>文青路３５１號九樓之２</t>
  </si>
  <si>
    <t>九層/二十二層</t>
  </si>
  <si>
    <t>文青路２０２號九樓之３</t>
  </si>
  <si>
    <t>文青路３６２號二樓</t>
  </si>
  <si>
    <t>文青路１７１號九樓之６</t>
  </si>
  <si>
    <t>九層/二十層</t>
  </si>
  <si>
    <t>文青路２４６號十六樓之９</t>
  </si>
  <si>
    <t>十六層/十九層</t>
  </si>
  <si>
    <t>文青路３６６號八樓</t>
  </si>
  <si>
    <t>八層/十三層</t>
  </si>
  <si>
    <t>文青路２２２號十三樓之２</t>
  </si>
  <si>
    <t>文青路２６８號二樓之２</t>
  </si>
  <si>
    <t>二層/十九層</t>
  </si>
  <si>
    <t>文青路３５０號十樓</t>
  </si>
  <si>
    <t>十層/十三層</t>
  </si>
  <si>
    <t>文青路３６６號十樓</t>
  </si>
  <si>
    <t>文青路３５２號十三樓</t>
  </si>
  <si>
    <t>文青路３６０號九樓</t>
  </si>
  <si>
    <t>九層/十三層</t>
  </si>
  <si>
    <t>文青路２６８號十一樓之１</t>
  </si>
  <si>
    <t>十一層/十九層</t>
  </si>
  <si>
    <t>文青路２２２號十九樓之７</t>
  </si>
  <si>
    <t>文青路３５０號三樓</t>
  </si>
  <si>
    <t>三層/十三層</t>
  </si>
  <si>
    <t>文青路１６７號十九樓之８</t>
  </si>
  <si>
    <t>十九層/二十層</t>
  </si>
  <si>
    <t>文青路２６８號七樓之２</t>
  </si>
  <si>
    <t>七層/十九層</t>
  </si>
  <si>
    <t>3房1廳1衛</t>
  </si>
  <si>
    <t>文青路１７５號七樓之９</t>
  </si>
  <si>
    <t>文青路３４８號十樓</t>
  </si>
  <si>
    <t>文青路１６７號五樓之６</t>
  </si>
  <si>
    <t>文青路２６８號十九樓之９</t>
  </si>
  <si>
    <t>文青路２９０號十八樓之３</t>
  </si>
  <si>
    <t>文青路２４６號十樓之３</t>
  </si>
  <si>
    <t>文青路２０２號六樓之６</t>
  </si>
  <si>
    <t>文青路２０２號六樓之８</t>
  </si>
  <si>
    <t>文青路２６８號九樓之６</t>
  </si>
  <si>
    <t>九層/十九層</t>
  </si>
  <si>
    <t>文青路２２２號十九樓之３</t>
  </si>
  <si>
    <t>文青路２６８號十三樓之７</t>
  </si>
  <si>
    <t>文青路３６０號三樓</t>
  </si>
  <si>
    <t>文青路３５０號二樓</t>
  </si>
  <si>
    <t>文青路３６２號五樓</t>
  </si>
  <si>
    <t>五層/十三層</t>
  </si>
  <si>
    <t>文青路３５０號八樓</t>
  </si>
  <si>
    <t>110/02</t>
  </si>
  <si>
    <t>文青路３６２號九樓</t>
  </si>
  <si>
    <t>文青路３５２號八樓</t>
  </si>
  <si>
    <t>文青路３４８號十二樓</t>
  </si>
  <si>
    <t>十二層/十三層</t>
  </si>
  <si>
    <t>文青路３５２號十一樓</t>
  </si>
  <si>
    <t>文青路３６０號十二樓</t>
  </si>
  <si>
    <t>文青路３４８號七樓</t>
  </si>
  <si>
    <t>七層/十三層</t>
  </si>
  <si>
    <t>文青路３６２號十樓</t>
  </si>
  <si>
    <t>土 建 車</t>
  </si>
  <si>
    <t>土1 建1車1</t>
  </si>
  <si>
    <t>土1 建1車2</t>
  </si>
  <si>
    <t>土 建</t>
  </si>
  <si>
    <t>土1 建1車0</t>
  </si>
  <si>
    <t>土1 建1車3</t>
  </si>
  <si>
    <t>總面積(坪)</t>
    <phoneticPr fontId="1" type="noConversion"/>
  </si>
  <si>
    <t>NO</t>
    <phoneticPr fontId="1" type="noConversion"/>
  </si>
  <si>
    <t>0001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</si>
  <si>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</si>
  <si>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</si>
  <si>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</si>
  <si>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</si>
  <si>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</si>
  <si>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</si>
  <si>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</si>
  <si>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</si>
  <si>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</si>
  <si>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</si>
  <si>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</si>
  <si>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</si>
  <si>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</si>
  <si>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</si>
  <si>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</si>
  <si>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</si>
  <si>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</si>
  <si>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</si>
  <si>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</si>
  <si>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</si>
  <si>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</si>
  <si>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</si>
  <si>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</si>
  <si>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</si>
  <si>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</si>
  <si>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</si>
  <si>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</si>
  <si>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</si>
  <si>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</si>
  <si>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</si>
  <si>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</si>
  <si>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</si>
  <si>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</si>
  <si>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</si>
  <si>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</si>
  <si>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</si>
  <si>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</si>
  <si>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</si>
  <si>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</si>
  <si>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</si>
  <si>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</si>
  <si>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</si>
  <si>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</si>
  <si>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</si>
  <si>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</si>
  <si>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</si>
  <si>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</si>
  <si>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</si>
  <si>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</si>
  <si>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</si>
  <si>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</si>
  <si>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</si>
  <si>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</si>
  <si>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</si>
  <si>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</si>
  <si>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</si>
  <si>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</si>
  <si>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</si>
  <si>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</si>
  <si>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</si>
  <si>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</si>
  <si>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</si>
  <si>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</si>
  <si>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</si>
  <si>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</si>
  <si>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</si>
  <si>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</si>
  <si>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</si>
  <si>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</si>
  <si>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</si>
  <si>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</si>
  <si>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</si>
  <si>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</si>
  <si>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</si>
  <si>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</si>
  <si>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</si>
  <si>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</si>
  <si>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</si>
  <si>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</si>
  <si>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</si>
  <si>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</si>
  <si>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</si>
  <si>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</si>
  <si>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</si>
  <si>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</si>
  <si>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</si>
  <si>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</si>
  <si>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</si>
  <si>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</si>
  <si>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</si>
  <si>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</si>
  <si>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</si>
  <si>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</si>
  <si>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</si>
  <si>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</si>
  <si>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</si>
  <si>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</si>
  <si>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</si>
  <si>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</si>
  <si>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</si>
  <si>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</si>
  <si>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</si>
  <si>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</si>
  <si>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</si>
  <si>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</si>
  <si>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</si>
  <si>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</si>
  <si>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</si>
  <si>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</si>
  <si>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</si>
  <si>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</si>
  <si>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</si>
  <si>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</si>
  <si>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</si>
  <si>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</si>
  <si>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</si>
  <si>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</si>
  <si>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</si>
  <si>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</si>
  <si>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</si>
  <si>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</si>
  <si>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</si>
  <si>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</si>
  <si>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</si>
  <si>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</si>
  <si>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樓別/樓高</t>
    <phoneticPr fontId="1" type="noConversion"/>
  </si>
  <si>
    <t>皇翔歡喜城</t>
  </si>
  <si>
    <t>皇翔歡喜城</t>
    <phoneticPr fontId="1" type="noConversion"/>
  </si>
  <si>
    <t>名軒快樂家</t>
  </si>
  <si>
    <t>名軒快樂家</t>
    <phoneticPr fontId="1" type="noConversion"/>
  </si>
  <si>
    <t>麗寶快樂家</t>
  </si>
  <si>
    <t>遠雄文青</t>
  </si>
  <si>
    <t>2房</t>
  </si>
  <si>
    <t>4房</t>
  </si>
  <si>
    <t>3房</t>
  </si>
  <si>
    <t>列標籤</t>
  </si>
  <si>
    <t>總計</t>
  </si>
  <si>
    <t>(多重項目)</t>
  </si>
  <si>
    <t>計數 - NO</t>
  </si>
  <si>
    <t>欄標籤</t>
  </si>
  <si>
    <r>
      <t>土</t>
    </r>
    <r>
      <rPr>
        <sz val="12"/>
        <color rgb="FF212529"/>
        <rFont val="楷體-繁 標準體"/>
        <charset val="136"/>
      </rPr>
      <t> </t>
    </r>
    <r>
      <rPr>
        <b/>
        <sz val="12"/>
        <color rgb="FFFFFFFF"/>
        <rFont val="楷體-繁 標準體"/>
        <charset val="136"/>
      </rPr>
      <t>建</t>
    </r>
    <r>
      <rPr>
        <sz val="12"/>
        <color rgb="FF212529"/>
        <rFont val="楷體-繁 標準體"/>
        <charset val="136"/>
      </rPr>
      <t> </t>
    </r>
    <r>
      <rPr>
        <b/>
        <sz val="12"/>
        <color rgb="FFFFFFFF"/>
        <rFont val="楷體-繁 標準體"/>
        <charset val="136"/>
      </rPr>
      <t>車</t>
    </r>
  </si>
  <si>
    <r>
      <t>土</t>
    </r>
    <r>
      <rPr>
        <sz val="12"/>
        <color rgb="FF212529"/>
        <rFont val="楷體-繁 標準體"/>
        <charset val="136"/>
      </rPr>
      <t>1 </t>
    </r>
    <r>
      <rPr>
        <sz val="12"/>
        <color rgb="FFFFFFFF"/>
        <rFont val="楷體-繁 標準體"/>
        <charset val="136"/>
      </rPr>
      <t>建</t>
    </r>
    <r>
      <rPr>
        <sz val="12"/>
        <color rgb="FF212529"/>
        <rFont val="楷體-繁 標準體"/>
        <charset val="136"/>
      </rPr>
      <t>1</t>
    </r>
    <r>
      <rPr>
        <sz val="12"/>
        <color rgb="FFFFFFFF"/>
        <rFont val="楷體-繁 標準體"/>
        <charset val="136"/>
      </rPr>
      <t>車</t>
    </r>
    <r>
      <rPr>
        <sz val="12"/>
        <color rgb="FF212529"/>
        <rFont val="楷體-繁 標準體"/>
        <charset val="136"/>
      </rPr>
      <t>1</t>
    </r>
  </si>
  <si>
    <r>
      <t>土</t>
    </r>
    <r>
      <rPr>
        <sz val="12"/>
        <color rgb="FF212529"/>
        <rFont val="楷體-繁 標準體"/>
        <charset val="136"/>
      </rPr>
      <t>1 </t>
    </r>
    <r>
      <rPr>
        <sz val="12"/>
        <color rgb="FFFFFFFF"/>
        <rFont val="楷體-繁 標準體"/>
        <charset val="136"/>
      </rPr>
      <t>建</t>
    </r>
    <r>
      <rPr>
        <sz val="12"/>
        <color rgb="FF212529"/>
        <rFont val="楷體-繁 標準體"/>
        <charset val="136"/>
      </rPr>
      <t>1</t>
    </r>
    <r>
      <rPr>
        <sz val="12"/>
        <color rgb="FFFFFFFF"/>
        <rFont val="楷體-繁 標準體"/>
        <charset val="136"/>
      </rPr>
      <t>車</t>
    </r>
    <r>
      <rPr>
        <sz val="12"/>
        <color rgb="FF212529"/>
        <rFont val="楷體-繁 標準體"/>
        <charset val="136"/>
      </rPr>
      <t>2</t>
    </r>
  </si>
  <si>
    <r>
      <t>土</t>
    </r>
    <r>
      <rPr>
        <sz val="12"/>
        <color rgb="FF212529"/>
        <rFont val="楷體-繁 標準體"/>
        <charset val="136"/>
      </rPr>
      <t> </t>
    </r>
    <r>
      <rPr>
        <b/>
        <sz val="12"/>
        <color rgb="FFFFFFFF"/>
        <rFont val="楷體-繁 標準體"/>
        <charset val="136"/>
      </rPr>
      <t>建</t>
    </r>
  </si>
  <si>
    <r>
      <t>土</t>
    </r>
    <r>
      <rPr>
        <sz val="12"/>
        <color rgb="FF212529"/>
        <rFont val="楷體-繁 標準體"/>
        <charset val="136"/>
      </rPr>
      <t>1 </t>
    </r>
    <r>
      <rPr>
        <sz val="12"/>
        <color rgb="FFFFFFFF"/>
        <rFont val="楷體-繁 標準體"/>
        <charset val="136"/>
      </rPr>
      <t>建</t>
    </r>
    <r>
      <rPr>
        <sz val="12"/>
        <color rgb="FF212529"/>
        <rFont val="楷體-繁 標準體"/>
        <charset val="136"/>
      </rPr>
      <t>1</t>
    </r>
    <r>
      <rPr>
        <sz val="12"/>
        <color rgb="FFFFFFFF"/>
        <rFont val="楷體-繁 標準體"/>
        <charset val="136"/>
      </rPr>
      <t>車</t>
    </r>
    <r>
      <rPr>
        <sz val="12"/>
        <color rgb="FF212529"/>
        <rFont val="楷體-繁 標準體"/>
        <charset val="136"/>
      </rPr>
      <t>0</t>
    </r>
  </si>
  <si>
    <r>
      <t>土</t>
    </r>
    <r>
      <rPr>
        <sz val="12"/>
        <color rgb="FF212529"/>
        <rFont val="楷體-繁 標準體"/>
        <charset val="136"/>
      </rPr>
      <t>1 </t>
    </r>
    <r>
      <rPr>
        <sz val="12"/>
        <color rgb="FFFFFFFF"/>
        <rFont val="楷體-繁 標準體"/>
        <charset val="136"/>
      </rPr>
      <t>建</t>
    </r>
    <r>
      <rPr>
        <sz val="12"/>
        <color rgb="FF212529"/>
        <rFont val="楷體-繁 標準體"/>
        <charset val="136"/>
      </rPr>
      <t>1</t>
    </r>
    <r>
      <rPr>
        <sz val="12"/>
        <color rgb="FFFFFFFF"/>
        <rFont val="楷體-繁 標準體"/>
        <charset val="136"/>
      </rPr>
      <t>車</t>
    </r>
    <r>
      <rPr>
        <sz val="12"/>
        <color rgb="FF212529"/>
        <rFont val="楷體-繁 標準體"/>
        <charset val="136"/>
      </rPr>
      <t>3</t>
    </r>
  </si>
  <si>
    <t>合宜住宅區 實價登錄</t>
    <phoneticPr fontId="1" type="noConversion"/>
  </si>
  <si>
    <t>時段: 110年 1-6月份</t>
    <phoneticPr fontId="1" type="noConversion"/>
  </si>
  <si>
    <t>搜索方式：桃園 龜山 文青路 ＆ 文青二路</t>
    <phoneticPr fontId="1" type="noConversion"/>
  </si>
  <si>
    <t>臉書社團 披露資料</t>
    <phoneticPr fontId="1" type="noConversion"/>
  </si>
  <si>
    <t>地址</t>
    <phoneticPr fontId="1" type="noConversion"/>
  </si>
  <si>
    <t>社區</t>
    <phoneticPr fontId="1" type="noConversion"/>
  </si>
  <si>
    <t>總價（萬元）</t>
    <phoneticPr fontId="1" type="noConversion"/>
  </si>
  <si>
    <t>交易年</t>
    <phoneticPr fontId="1" type="noConversion"/>
  </si>
  <si>
    <t>交易月</t>
  </si>
  <si>
    <t>交易月</t>
    <phoneticPr fontId="1" type="noConversion"/>
  </si>
  <si>
    <t>主建物佔比（%)</t>
    <phoneticPr fontId="1" type="noConversion"/>
  </si>
  <si>
    <t>屋齡</t>
    <phoneticPr fontId="1" type="noConversion"/>
  </si>
  <si>
    <t>樓層</t>
    <phoneticPr fontId="1" type="noConversion"/>
  </si>
  <si>
    <t>建物格局</t>
    <phoneticPr fontId="1" type="noConversion"/>
  </si>
  <si>
    <t>臥室數</t>
    <phoneticPr fontId="1" type="noConversion"/>
  </si>
  <si>
    <t>每坪單價(萬元/坪)</t>
    <phoneticPr fontId="1" type="noConversion"/>
  </si>
  <si>
    <t>車位總價</t>
    <phoneticPr fontId="1" type="noConversion"/>
  </si>
  <si>
    <t>平均值 - 每坪單價(萬元/坪)</t>
  </si>
  <si>
    <t>平均值 - 總價（萬元）</t>
  </si>
  <si>
    <t>平均值 - 車位總價</t>
  </si>
  <si>
    <t>房屋坪數</t>
    <phoneticPr fontId="1" type="noConversion"/>
  </si>
  <si>
    <t>每坪單價B</t>
    <phoneticPr fontId="1" type="noConversion"/>
  </si>
  <si>
    <t>平均值 - 每坪單價B</t>
  </si>
  <si>
    <t>平均值 - 房屋坪數</t>
  </si>
  <si>
    <t>計數 - 車位總價</t>
  </si>
  <si>
    <t>車位價格</t>
    <phoneticPr fontId="1" type="noConversion"/>
  </si>
  <si>
    <t>個數</t>
    <phoneticPr fontId="1" type="noConversion"/>
  </si>
  <si>
    <t>90-99</t>
    <phoneticPr fontId="1" type="noConversion"/>
  </si>
  <si>
    <t>100-109</t>
    <phoneticPr fontId="1" type="noConversion"/>
  </si>
  <si>
    <t>110-119</t>
    <phoneticPr fontId="1" type="noConversion"/>
  </si>
  <si>
    <t>120-129</t>
    <phoneticPr fontId="1" type="noConversion"/>
  </si>
  <si>
    <t>80-89</t>
    <phoneticPr fontId="1" type="noConversion"/>
  </si>
  <si>
    <t>150-159</t>
    <phoneticPr fontId="1" type="noConversion"/>
  </si>
  <si>
    <t>160-169</t>
    <phoneticPr fontId="1" type="noConversion"/>
  </si>
  <si>
    <t>170-179</t>
    <phoneticPr fontId="1" type="noConversion"/>
  </si>
  <si>
    <t>200-300</t>
    <phoneticPr fontId="1" type="noConversion"/>
  </si>
  <si>
    <t>平均值 - 總面積(坪)</t>
  </si>
  <si>
    <t>平均值 - 主建物佔比（%)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</si>
</sst>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.00_ "/>
    <numFmt numFmtId="178" formatCode="#,##0.0_ "/>
    <numFmt numFmtId="179" formatCode="#,##0.00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楷體-繁 標準體"/>
      <charset val="136"/>
    </font>
    <font>
      <u/>
      <sz val="12"/>
      <color theme="10"/>
      <name val="楷體-繁 標準體"/>
      <charset val="136"/>
    </font>
    <font>
      <b/>
      <sz val="12"/>
      <color rgb="FF191919"/>
      <name val="楷體-繁 標準體"/>
      <charset val="136"/>
    </font>
    <font>
      <sz val="12"/>
      <color rgb="FF212529"/>
      <name val="楷體-繁 標準體"/>
      <charset val="136"/>
    </font>
    <font>
      <sz val="12"/>
      <color rgb="FFFFFFFF"/>
      <name val="楷體-繁 標準體"/>
      <charset val="136"/>
    </font>
    <font>
      <b/>
      <sz val="12"/>
      <color rgb="FFFFFFFF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3" fontId="6" fillId="0" borderId="0" xfId="0" applyNumberFormat="1" applyFont="1">
      <alignment vertical="center"/>
    </xf>
    <xf numFmtId="4" fontId="6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[A7XLK-1103-HouseOld.xlsx]分析!樞紐分析表6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 </a:t>
            </a:r>
            <a:r>
              <a:rPr lang="en-US" altLang="zh-TW" sz="2000" baseline="0">
                <a:ea typeface="楷體-繁" panose="02010600040101010101" pitchFamily="2" charset="-120"/>
              </a:rPr>
              <a:t>110</a:t>
            </a:r>
            <a:r>
              <a:rPr lang="zh-TW" altLang="en-US" sz="2000" baseline="0">
                <a:ea typeface="楷體-繁" panose="02010600040101010101" pitchFamily="2" charset="-120"/>
              </a:rPr>
              <a:t>年 </a:t>
            </a:r>
            <a:r>
              <a:rPr lang="en-US" altLang="zh-TW" sz="2000" baseline="0">
                <a:ea typeface="楷體-繁" panose="02010600040101010101" pitchFamily="2" charset="-120"/>
              </a:rPr>
              <a:t>4-6</a:t>
            </a:r>
            <a:r>
              <a:rPr lang="zh-TW" altLang="en-US" sz="2000" baseline="0">
                <a:ea typeface="楷體-繁" panose="02010600040101010101" pitchFamily="2" charset="-120"/>
              </a:rPr>
              <a:t>月 房市行情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分析!$C$4</c:f>
              <c:strCache>
                <c:ptCount val="1"/>
                <c:pt idx="0">
                  <c:v>平均值 - 每坪單價(萬元/坪)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分析!$B$5:$B$9</c:f>
              <c:strCache>
                <c:ptCount val="4"/>
                <c:pt idx="0">
                  <c:v>麗寶快樂家</c:v>
                </c:pt>
                <c:pt idx="1">
                  <c:v>名軒快樂家</c:v>
                </c:pt>
                <c:pt idx="2">
                  <c:v>皇翔歡喜城</c:v>
                </c:pt>
                <c:pt idx="3">
                  <c:v>遠雄文青</c:v>
                </c:pt>
              </c:strCache>
            </c:strRef>
          </c:cat>
          <c:val>
            <c:numRef>
              <c:f>分析!$C$5:$C$9</c:f>
              <c:numCache>
                <c:formatCode>#,##0.0_ </c:formatCode>
                <c:ptCount val="4"/>
                <c:pt idx="0">
                  <c:v>23</c:v>
                </c:pt>
                <c:pt idx="1">
                  <c:v>17.990476190476194</c:v>
                </c:pt>
                <c:pt idx="2">
                  <c:v>16.984848484848484</c:v>
                </c:pt>
                <c:pt idx="3">
                  <c:v>16.841666666666661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E-5C48-956A-9CBD37AB5D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43498624"/>
        <c:axId val="1643500272"/>
      </c:barChart>
      <c:lineChart>
        <c:grouping val="standard"/>
        <c:varyColors val="0"/>
        <c:ser>
          <c:idx val="1"/>
          <c:order val="1"/>
          <c:tx>
            <c:strRef>
              <c:f>分析!$D$4</c:f>
              <c:strCache>
                <c:ptCount val="1"/>
                <c:pt idx="0">
                  <c:v>計數 - 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分析!$B$5:$B$9</c:f>
              <c:strCache>
                <c:ptCount val="4"/>
                <c:pt idx="0">
                  <c:v>麗寶快樂家</c:v>
                </c:pt>
                <c:pt idx="1">
                  <c:v>名軒快樂家</c:v>
                </c:pt>
                <c:pt idx="2">
                  <c:v>皇翔歡喜城</c:v>
                </c:pt>
                <c:pt idx="3">
                  <c:v>遠雄文青</c:v>
                </c:pt>
              </c:strCache>
            </c:strRef>
          </c:cat>
          <c:val>
            <c:numRef>
              <c:f>分析!$D$5:$D$9</c:f>
              <c:numCache>
                <c:formatCode>General</c:formatCode>
                <c:ptCount val="4"/>
                <c:pt idx="0">
                  <c:v>25</c:v>
                </c:pt>
                <c:pt idx="1">
                  <c:v>21</c:v>
                </c:pt>
                <c:pt idx="2">
                  <c:v>33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E-5C48-956A-9CBD37AB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178704"/>
        <c:axId val="1606967968"/>
      </c:lineChart>
      <c:catAx>
        <c:axId val="16434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643500272"/>
        <c:crosses val="autoZero"/>
        <c:auto val="1"/>
        <c:lblAlgn val="ctr"/>
        <c:lblOffset val="100"/>
        <c:noMultiLvlLbl val="0"/>
      </c:catAx>
      <c:valAx>
        <c:axId val="1643500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每坪單價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(</a:t>
                </a:r>
                <a:r>
                  <a:rPr lang="zh-TW" altLang="en-US" sz="1400" baseline="0">
                    <a:ea typeface="楷體-繁" panose="02010600040101010101" pitchFamily="2" charset="-120"/>
                  </a:rPr>
                  <a:t>萬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/</a:t>
                </a:r>
                <a:r>
                  <a:rPr lang="zh-TW" altLang="en-US" sz="1400" baseline="0">
                    <a:ea typeface="楷體-繁" panose="02010600040101010101" pitchFamily="2" charset="-120"/>
                  </a:rPr>
                  <a:t>坪）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3498624"/>
        <c:crosses val="autoZero"/>
        <c:crossBetween val="between"/>
      </c:valAx>
      <c:valAx>
        <c:axId val="1606967968"/>
        <c:scaling>
          <c:orientation val="minMax"/>
          <c:max val="60"/>
          <c:min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7178704"/>
        <c:crosses val="max"/>
        <c:crossBetween val="between"/>
      </c:valAx>
      <c:catAx>
        <c:axId val="1607178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6967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[A7XLK-1103-HouseOld.xlsx]分析!樞紐分析表7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/>
              <a:t>合宜住宅區總價評比</a:t>
            </a:r>
            <a:r>
              <a:rPr lang="en-US" altLang="zh-TW" sz="2000" baseline="0"/>
              <a:t>(</a:t>
            </a:r>
            <a:r>
              <a:rPr lang="zh-TW" altLang="en-US" sz="2000" baseline="0"/>
              <a:t>土＋房＋車）</a:t>
            </a:r>
            <a:endParaRPr lang="zh-TW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分析!$C$62:$C$63</c:f>
              <c:strCache>
                <c:ptCount val="1"/>
                <c:pt idx="0">
                  <c:v>名軒快樂家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分析!$B$64:$B$67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分析!$C$64:$C$67</c:f>
              <c:numCache>
                <c:formatCode>#,##0_ </c:formatCode>
                <c:ptCount val="3"/>
                <c:pt idx="0">
                  <c:v>795.9</c:v>
                </c:pt>
                <c:pt idx="1">
                  <c:v>824.42499999999995</c:v>
                </c:pt>
                <c:pt idx="2">
                  <c:v>945.33333333333337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1449-9B21-06C43B807F3D}"/>
            </c:ext>
          </c:extLst>
        </c:ser>
        <c:ser>
          <c:idx val="1"/>
          <c:order val="1"/>
          <c:tx>
            <c:strRef>
              <c:f>分析!$D$62:$D$63</c:f>
              <c:strCache>
                <c:ptCount val="1"/>
                <c:pt idx="0">
                  <c:v>皇翔歡喜城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分析!$B$64:$B$67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分析!$D$64:$D$67</c:f>
              <c:numCache>
                <c:formatCode>#,##0_ </c:formatCode>
                <c:ptCount val="3"/>
                <c:pt idx="0">
                  <c:v>764.5</c:v>
                </c:pt>
                <c:pt idx="1">
                  <c:v>908.35</c:v>
                </c:pt>
                <c:pt idx="2">
                  <c:v>1012.6363636363636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F-1449-9B21-06C43B807F3D}"/>
            </c:ext>
          </c:extLst>
        </c:ser>
        <c:ser>
          <c:idx val="2"/>
          <c:order val="2"/>
          <c:tx>
            <c:strRef>
              <c:f>分析!$E$62:$E$63</c:f>
              <c:strCache>
                <c:ptCount val="1"/>
                <c:pt idx="0">
                  <c:v>遠雄文青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分析!$B$64:$B$67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分析!$E$64:$E$67</c:f>
              <c:numCache>
                <c:formatCode>#,##0_ </c:formatCode>
                <c:ptCount val="3"/>
                <c:pt idx="0">
                  <c:v>745</c:v>
                </c:pt>
                <c:pt idx="1">
                  <c:v>988.69523809523798</c:v>
                </c:pt>
                <c:pt idx="2">
                  <c:v>894.375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F-1449-9B21-06C43B807F3D}"/>
            </c:ext>
          </c:extLst>
        </c:ser>
        <c:ser>
          <c:idx val="3"/>
          <c:order val="3"/>
          <c:tx>
            <c:strRef>
              <c:f>分析!$F$62:$F$63</c:f>
              <c:strCache>
                <c:ptCount val="1"/>
                <c:pt idx="0">
                  <c:v>麗寶快樂家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分析!$B$64:$B$67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分析!$F$64:$F$67</c:f>
              <c:numCache>
                <c:formatCode>#,##0_ </c:formatCode>
                <c:ptCount val="3"/>
                <c:pt idx="1">
                  <c:v>1062.8947368421052</c:v>
                </c:pt>
                <c:pt idx="2">
                  <c:v>1095.5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3F-1449-9B21-06C43B807F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81668944"/>
        <c:axId val="1681678544"/>
      </c:barChart>
      <c:catAx>
        <c:axId val="168166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681678544"/>
        <c:crosses val="autoZero"/>
        <c:auto val="1"/>
        <c:lblAlgn val="ctr"/>
        <c:lblOffset val="100"/>
        <c:noMultiLvlLbl val="0"/>
      </c:catAx>
      <c:valAx>
        <c:axId val="1681678544"/>
        <c:scaling>
          <c:orientation val="minMax"/>
        </c:scaling>
        <c:delete val="1"/>
        <c:axPos val="l"/>
        <c:numFmt formatCode="#,##0_ " sourceLinked="1"/>
        <c:majorTickMark val="none"/>
        <c:minorTickMark val="none"/>
        <c:tickLblPos val="nextTo"/>
        <c:crossAx val="168166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>
          <a:ea typeface="楷體-繁" panose="02010600040101010101" pitchFamily="2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[A7XLK-1103-HouseOld.xlsx]分析!樞紐分析表8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合宜住宅區 房價趨勢 </a:t>
            </a:r>
            <a:r>
              <a:rPr lang="en-US" altLang="zh-TW" sz="2000" baseline="0">
                <a:ea typeface="楷體-繁" panose="02010600040101010101" pitchFamily="2" charset="-120"/>
              </a:rPr>
              <a:t>110</a:t>
            </a:r>
            <a:r>
              <a:rPr lang="zh-TW" altLang="en-US" sz="2000" baseline="0">
                <a:ea typeface="楷體-繁" panose="02010600040101010101" pitchFamily="2" charset="-120"/>
              </a:rPr>
              <a:t>年 </a:t>
            </a:r>
            <a:r>
              <a:rPr lang="en-US" altLang="zh-TW" sz="2000" baseline="0">
                <a:ea typeface="楷體-繁" panose="02010600040101010101" pitchFamily="2" charset="-120"/>
              </a:rPr>
              <a:t>4-6</a:t>
            </a:r>
            <a:r>
              <a:rPr lang="zh-TW" altLang="en-US" sz="2000" baseline="0">
                <a:ea typeface="楷體-繁" panose="02010600040101010101" pitchFamily="2" charset="-120"/>
              </a:rPr>
              <a:t>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分析!$C$25:$C$26</c:f>
              <c:strCache>
                <c:ptCount val="1"/>
                <c:pt idx="0">
                  <c:v>名軒快樂家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分析!$B$27:$B$30</c:f>
              <c:strCach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strCache>
            </c:strRef>
          </c:cat>
          <c:val>
            <c:numRef>
              <c:f>分析!$C$27:$C$30</c:f>
              <c:numCache>
                <c:formatCode>#,##0.0_ </c:formatCode>
                <c:ptCount val="3"/>
                <c:pt idx="0">
                  <c:v>17.064285714285713</c:v>
                </c:pt>
                <c:pt idx="1">
                  <c:v>21.15</c:v>
                </c:pt>
                <c:pt idx="2">
                  <c:v>18.099999999999998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6-FC41-B968-EBB3F6ED9BA7}"/>
            </c:ext>
          </c:extLst>
        </c:ser>
        <c:ser>
          <c:idx val="1"/>
          <c:order val="1"/>
          <c:tx>
            <c:strRef>
              <c:f>分析!$D$25:$D$26</c:f>
              <c:strCache>
                <c:ptCount val="1"/>
                <c:pt idx="0">
                  <c:v>皇翔歡喜城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分析!$B$27:$B$30</c:f>
              <c:strCach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strCache>
            </c:strRef>
          </c:cat>
          <c:val>
            <c:numRef>
              <c:f>分析!$D$27:$D$30</c:f>
              <c:numCache>
                <c:formatCode>#,##0.0_ </c:formatCode>
                <c:ptCount val="3"/>
                <c:pt idx="0">
                  <c:v>16.400000000000002</c:v>
                </c:pt>
                <c:pt idx="1">
                  <c:v>17.38421052631579</c:v>
                </c:pt>
                <c:pt idx="2">
                  <c:v>16.700000000000003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F6-FC41-B968-EBB3F6ED9BA7}"/>
            </c:ext>
          </c:extLst>
        </c:ser>
        <c:ser>
          <c:idx val="2"/>
          <c:order val="2"/>
          <c:tx>
            <c:strRef>
              <c:f>分析!$E$25:$E$26</c:f>
              <c:strCache>
                <c:ptCount val="1"/>
                <c:pt idx="0">
                  <c:v>遠雄文青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分析!$B$27:$B$30</c:f>
              <c:strCach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strCache>
            </c:strRef>
          </c:cat>
          <c:val>
            <c:numRef>
              <c:f>分析!$E$27:$E$30</c:f>
              <c:numCache>
                <c:formatCode>#,##0.0_ </c:formatCode>
                <c:ptCount val="3"/>
                <c:pt idx="0">
                  <c:v>18.066666666666666</c:v>
                </c:pt>
                <c:pt idx="1">
                  <c:v>16.804761904761911</c:v>
                </c:pt>
                <c:pt idx="2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F6-FC41-B968-EBB3F6ED9BA7}"/>
            </c:ext>
          </c:extLst>
        </c:ser>
        <c:ser>
          <c:idx val="3"/>
          <c:order val="3"/>
          <c:tx>
            <c:strRef>
              <c:f>分析!$F$25:$F$26</c:f>
              <c:strCache>
                <c:ptCount val="1"/>
                <c:pt idx="0">
                  <c:v>麗寶快樂家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分析!$B$27:$B$30</c:f>
              <c:strCach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strCache>
            </c:strRef>
          </c:cat>
          <c:val>
            <c:numRef>
              <c:f>分析!$F$27:$F$30</c:f>
              <c:numCache>
                <c:formatCode>#,##0.0_ </c:formatCode>
                <c:ptCount val="3"/>
                <c:pt idx="0">
                  <c:v>26.449999999999996</c:v>
                </c:pt>
                <c:pt idx="1">
                  <c:v>23.627272727272725</c:v>
                </c:pt>
                <c:pt idx="2">
                  <c:v>17.25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F6-FC41-B968-EBB3F6ED9B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27648288"/>
        <c:axId val="1727999856"/>
      </c:lineChart>
      <c:catAx>
        <c:axId val="172764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7999856"/>
        <c:crosses val="autoZero"/>
        <c:auto val="1"/>
        <c:lblAlgn val="ctr"/>
        <c:lblOffset val="100"/>
        <c:noMultiLvlLbl val="0"/>
      </c:catAx>
      <c:valAx>
        <c:axId val="1727999856"/>
        <c:scaling>
          <c:orientation val="minMax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每坪單價 （萬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/</a:t>
                </a:r>
                <a:r>
                  <a:rPr lang="zh-TW" altLang="en-US" sz="1400" baseline="0">
                    <a:ea typeface="楷體-繁" panose="02010600040101010101" pitchFamily="2" charset="-120"/>
                  </a:rPr>
                  <a:t>坪）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76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[A7XLK-1103-HouseOld.xlsx]分析!樞紐分析表9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</a:t>
            </a:r>
            <a:r>
              <a:rPr lang="en-US" altLang="zh-TW" sz="2000" baseline="0">
                <a:ea typeface="楷體-繁" panose="02010600040101010101" pitchFamily="2" charset="-120"/>
              </a:rPr>
              <a:t> 110</a:t>
            </a:r>
            <a:r>
              <a:rPr lang="zh-TW" altLang="en-US" sz="2000" baseline="0">
                <a:ea typeface="楷體-繁" panose="02010600040101010101" pitchFamily="2" charset="-120"/>
              </a:rPr>
              <a:t>年 </a:t>
            </a:r>
            <a:r>
              <a:rPr lang="en-US" altLang="zh-TW" sz="2000" baseline="0">
                <a:ea typeface="楷體-繁" panose="02010600040101010101" pitchFamily="2" charset="-120"/>
              </a:rPr>
              <a:t>4-6</a:t>
            </a:r>
            <a:r>
              <a:rPr lang="zh-TW" altLang="en-US" sz="2000" baseline="0">
                <a:ea typeface="楷體-繁" panose="02010600040101010101" pitchFamily="2" charset="-120"/>
              </a:rPr>
              <a:t>月車位總價 </a:t>
            </a:r>
            <a:r>
              <a:rPr lang="en-US" altLang="zh-TW" sz="2000" baseline="0">
                <a:ea typeface="楷體-繁" panose="02010600040101010101" pitchFamily="2" charset="-120"/>
              </a:rPr>
              <a:t>(</a:t>
            </a:r>
            <a:r>
              <a:rPr lang="zh-TW" altLang="en-US" sz="2000" baseline="0">
                <a:ea typeface="楷體-繁" panose="02010600040101010101" pitchFamily="2" charset="-120"/>
              </a:rPr>
              <a:t>萬元</a:t>
            </a:r>
            <a:r>
              <a:rPr lang="en-US" altLang="zh-TW" sz="2000" baseline="0">
                <a:ea typeface="楷體-繁" panose="02010600040101010101" pitchFamily="2" charset="-120"/>
              </a:rPr>
              <a:t>)</a:t>
            </a:r>
            <a:endParaRPr lang="zh-TW" altLang="en-US" sz="2000" baseline="0">
              <a:ea typeface="楷體-繁" panose="02010600040101010101" pitchFamily="2" charset="-120"/>
            </a:endParaRPr>
          </a:p>
        </c:rich>
      </c:tx>
      <c:layout>
        <c:manualLayout>
          <c:xMode val="edge"/>
          <c:yMode val="edge"/>
          <c:x val="0.20063136456211808"/>
          <c:y val="4.5889101338432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分析!$C$87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分析!$B$88:$B$92</c:f>
              <c:strCache>
                <c:ptCount val="4"/>
                <c:pt idx="0">
                  <c:v>麗寶快樂家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名軒快樂家</c:v>
                </c:pt>
              </c:strCache>
            </c:strRef>
          </c:cat>
          <c:val>
            <c:numRef>
              <c:f>分析!$C$88:$C$92</c:f>
              <c:numCache>
                <c:formatCode>#,##0_ </c:formatCode>
                <c:ptCount val="4"/>
                <c:pt idx="0">
                  <c:v>141.3125</c:v>
                </c:pt>
                <c:pt idx="1">
                  <c:v>132.4</c:v>
                </c:pt>
                <c:pt idx="2">
                  <c:v>130.6</c:v>
                </c:pt>
                <c:pt idx="3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B-C644-9B94-33B283FB2D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85151504"/>
        <c:axId val="1685348112"/>
      </c:barChart>
      <c:catAx>
        <c:axId val="16851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685348112"/>
        <c:crosses val="autoZero"/>
        <c:auto val="1"/>
        <c:lblAlgn val="ctr"/>
        <c:lblOffset val="100"/>
        <c:noMultiLvlLbl val="0"/>
      </c:catAx>
      <c:valAx>
        <c:axId val="1685348112"/>
        <c:scaling>
          <c:orientation val="minMax"/>
        </c:scaling>
        <c:delete val="1"/>
        <c:axPos val="l"/>
        <c:numFmt formatCode="#,##0_ " sourceLinked="1"/>
        <c:majorTickMark val="none"/>
        <c:minorTickMark val="none"/>
        <c:tickLblPos val="nextTo"/>
        <c:crossAx val="168515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[A7XLK-1103-HouseOld.xlsx]分析!樞紐分析表10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 </a:t>
            </a:r>
            <a:r>
              <a:rPr lang="en-US" altLang="zh-TW" sz="2000" baseline="0">
                <a:ea typeface="楷體-繁" panose="02010600040101010101" pitchFamily="2" charset="-120"/>
              </a:rPr>
              <a:t>110</a:t>
            </a:r>
            <a:r>
              <a:rPr lang="zh-TW" altLang="en-US" sz="2000" baseline="0">
                <a:ea typeface="楷體-繁" panose="02010600040101010101" pitchFamily="2" charset="-120"/>
              </a:rPr>
              <a:t>年 </a:t>
            </a:r>
            <a:r>
              <a:rPr lang="en-US" altLang="zh-TW" sz="2000" baseline="0">
                <a:ea typeface="楷體-繁" panose="02010600040101010101" pitchFamily="2" charset="-120"/>
              </a:rPr>
              <a:t>4-6</a:t>
            </a:r>
            <a:r>
              <a:rPr lang="zh-TW" altLang="en-US" sz="2000" baseline="0">
                <a:ea typeface="楷體-繁" panose="02010600040101010101" pitchFamily="2" charset="-120"/>
              </a:rPr>
              <a:t>月交易房型統計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分析!$C$112:$C$113</c:f>
              <c:strCache>
                <c:ptCount val="1"/>
                <c:pt idx="0">
                  <c:v>2房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分析!$B$114:$B$118</c:f>
              <c:strCache>
                <c:ptCount val="4"/>
                <c:pt idx="0">
                  <c:v>名軒快樂家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麗寶快樂家</c:v>
                </c:pt>
              </c:strCache>
            </c:strRef>
          </c:cat>
          <c:val>
            <c:numRef>
              <c:f>分析!$C$114:$C$118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A-AF41-89AF-D4630578E901}"/>
            </c:ext>
          </c:extLst>
        </c:ser>
        <c:ser>
          <c:idx val="1"/>
          <c:order val="1"/>
          <c:tx>
            <c:strRef>
              <c:f>分析!$D$112:$D$113</c:f>
              <c:strCache>
                <c:ptCount val="1"/>
                <c:pt idx="0">
                  <c:v>3房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分析!$B$114:$B$118</c:f>
              <c:strCache>
                <c:ptCount val="4"/>
                <c:pt idx="0">
                  <c:v>名軒快樂家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麗寶快樂家</c:v>
                </c:pt>
              </c:strCache>
            </c:strRef>
          </c:cat>
          <c:val>
            <c:numRef>
              <c:f>分析!$D$114:$D$118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21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A-AF41-89AF-D4630578E901}"/>
            </c:ext>
          </c:extLst>
        </c:ser>
        <c:ser>
          <c:idx val="2"/>
          <c:order val="2"/>
          <c:tx>
            <c:strRef>
              <c:f>分析!$E$112:$E$113</c:f>
              <c:strCache>
                <c:ptCount val="1"/>
                <c:pt idx="0">
                  <c:v>4房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分析!$B$114:$B$118</c:f>
              <c:strCache>
                <c:ptCount val="4"/>
                <c:pt idx="0">
                  <c:v>名軒快樂家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麗寶快樂家</c:v>
                </c:pt>
              </c:strCache>
            </c:strRef>
          </c:cat>
          <c:val>
            <c:numRef>
              <c:f>分析!$E$114:$E$118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A-AF41-89AF-D4630578E9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4347488"/>
        <c:axId val="1764363584"/>
      </c:barChart>
      <c:catAx>
        <c:axId val="17643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764363584"/>
        <c:crosses val="autoZero"/>
        <c:auto val="1"/>
        <c:lblAlgn val="ctr"/>
        <c:lblOffset val="100"/>
        <c:noMultiLvlLbl val="0"/>
      </c:catAx>
      <c:valAx>
        <c:axId val="1764363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43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[A7XLK-1103-HouseOld.xlsx]分析-2!樞紐分析表11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</a:t>
            </a:r>
            <a:r>
              <a:rPr lang="en-US" altLang="zh-TW" sz="2000" baseline="0">
                <a:ea typeface="楷體-繁" panose="02010600040101010101" pitchFamily="2" charset="-120"/>
              </a:rPr>
              <a:t>110</a:t>
            </a:r>
            <a:r>
              <a:rPr lang="zh-TW" altLang="en-US" sz="2000" baseline="0">
                <a:ea typeface="楷體-繁" panose="02010600040101010101" pitchFamily="2" charset="-120"/>
              </a:rPr>
              <a:t>年</a:t>
            </a:r>
            <a:r>
              <a:rPr lang="en-US" altLang="zh-TW" sz="2000" baseline="0">
                <a:ea typeface="楷體-繁" panose="02010600040101010101" pitchFamily="2" charset="-120"/>
              </a:rPr>
              <a:t>4-6</a:t>
            </a:r>
            <a:r>
              <a:rPr lang="zh-TW" altLang="en-US" sz="2000" baseline="0">
                <a:ea typeface="楷體-繁" panose="02010600040101010101" pitchFamily="2" charset="-120"/>
              </a:rPr>
              <a:t>月 房市行情</a:t>
            </a:r>
            <a:endParaRPr lang="en-US" altLang="zh-TW" sz="2000" baseline="0">
              <a:ea typeface="楷體-繁" panose="02010600040101010101" pitchFamily="2" charset="-120"/>
            </a:endParaRPr>
          </a:p>
          <a:p>
            <a:pPr>
              <a:defRPr sz="2000">
                <a:ea typeface="楷體-繁" panose="02010600040101010101" pitchFamily="2" charset="-120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（依據房屋坪數計算）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'分析-2'!$C$4</c:f>
              <c:strCache>
                <c:ptCount val="1"/>
                <c:pt idx="0">
                  <c:v>平均值 - 每坪單價B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'分析-2'!$B$5:$B$9</c:f>
              <c:strCache>
                <c:ptCount val="4"/>
                <c:pt idx="0">
                  <c:v>麗寶快樂家</c:v>
                </c:pt>
                <c:pt idx="1">
                  <c:v>名軒快樂家</c:v>
                </c:pt>
                <c:pt idx="2">
                  <c:v>皇翔歡喜城</c:v>
                </c:pt>
                <c:pt idx="3">
                  <c:v>遠雄文青</c:v>
                </c:pt>
              </c:strCache>
            </c:strRef>
          </c:cat>
          <c:val>
            <c:numRef>
              <c:f>'分析-2'!$C$5:$C$9</c:f>
              <c:numCache>
                <c:formatCode>#,##0.0_ </c:formatCode>
                <c:ptCount val="4"/>
                <c:pt idx="0">
                  <c:v>37.051725833345493</c:v>
                </c:pt>
                <c:pt idx="1">
                  <c:v>30.761252365186767</c:v>
                </c:pt>
                <c:pt idx="2">
                  <c:v>28.829681692371182</c:v>
                </c:pt>
                <c:pt idx="3">
                  <c:v>28.032607010239172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F-BC4A-ABE5-09EBDB441F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71620208"/>
        <c:axId val="1571621856"/>
      </c:barChart>
      <c:lineChart>
        <c:grouping val="standard"/>
        <c:varyColors val="0"/>
        <c:ser>
          <c:idx val="1"/>
          <c:order val="1"/>
          <c:tx>
            <c:strRef>
              <c:f>'分析-2'!$D$4</c:f>
              <c:strCache>
                <c:ptCount val="1"/>
                <c:pt idx="0">
                  <c:v>計數 - 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'分析-2'!$B$5:$B$9</c:f>
              <c:strCache>
                <c:ptCount val="4"/>
                <c:pt idx="0">
                  <c:v>麗寶快樂家</c:v>
                </c:pt>
                <c:pt idx="1">
                  <c:v>名軒快樂家</c:v>
                </c:pt>
                <c:pt idx="2">
                  <c:v>皇翔歡喜城</c:v>
                </c:pt>
                <c:pt idx="3">
                  <c:v>遠雄文青</c:v>
                </c:pt>
              </c:strCache>
            </c:strRef>
          </c:cat>
          <c:val>
            <c:numRef>
              <c:f>'分析-2'!$D$5:$D$9</c:f>
              <c:numCache>
                <c:formatCode>General</c:formatCode>
                <c:ptCount val="4"/>
                <c:pt idx="0">
                  <c:v>25</c:v>
                </c:pt>
                <c:pt idx="1">
                  <c:v>21</c:v>
                </c:pt>
                <c:pt idx="2">
                  <c:v>33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F-BC4A-ABE5-09EBDB441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019952"/>
        <c:axId val="1762462960"/>
      </c:lineChart>
      <c:catAx>
        <c:axId val="15716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571621856"/>
        <c:crosses val="autoZero"/>
        <c:auto val="1"/>
        <c:lblAlgn val="ctr"/>
        <c:lblOffset val="100"/>
        <c:noMultiLvlLbl val="0"/>
      </c:catAx>
      <c:valAx>
        <c:axId val="1571621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每坪單價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(</a:t>
                </a:r>
                <a:r>
                  <a:rPr lang="zh-TW" altLang="en-US" sz="1400" baseline="0">
                    <a:ea typeface="楷體-繁" panose="02010600040101010101" pitchFamily="2" charset="-120"/>
                  </a:rPr>
                  <a:t>萬元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)</a:t>
                </a:r>
                <a:endParaRPr lang="zh-TW" altLang="en-US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1620208"/>
        <c:crosses val="autoZero"/>
        <c:crossBetween val="between"/>
      </c:valAx>
      <c:valAx>
        <c:axId val="1762462960"/>
        <c:scaling>
          <c:orientation val="minMax"/>
          <c:max val="60"/>
          <c:min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0019952"/>
        <c:crosses val="max"/>
        <c:crossBetween val="between"/>
      </c:valAx>
      <c:catAx>
        <c:axId val="209001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2462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[A7XLK-1103-HouseOld.xlsx]分析-2!樞紐分析表12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 </a:t>
            </a:r>
            <a:r>
              <a:rPr lang="en-US" altLang="zh-TW" sz="2000" baseline="0">
                <a:ea typeface="楷體-繁" panose="02010600040101010101" pitchFamily="2" charset="-120"/>
              </a:rPr>
              <a:t>110</a:t>
            </a:r>
            <a:r>
              <a:rPr lang="zh-TW" altLang="en-US" sz="2000" baseline="0">
                <a:ea typeface="楷體-繁" panose="02010600040101010101" pitchFamily="2" charset="-120"/>
              </a:rPr>
              <a:t>年</a:t>
            </a:r>
            <a:r>
              <a:rPr lang="en-US" altLang="zh-TW" sz="2000" baseline="0">
                <a:ea typeface="楷體-繁" panose="02010600040101010101" pitchFamily="2" charset="-120"/>
              </a:rPr>
              <a:t> 4-6</a:t>
            </a:r>
            <a:r>
              <a:rPr lang="zh-TW" altLang="en-US" sz="2000" baseline="0">
                <a:ea typeface="楷體-繁" panose="02010600040101010101" pitchFamily="2" charset="-120"/>
              </a:rPr>
              <a:t>月 主建物坪數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'分析-2'!$C$43:$C$44</c:f>
              <c:strCache>
                <c:ptCount val="1"/>
                <c:pt idx="0">
                  <c:v>2房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'分析-2'!$B$45:$B$49</c:f>
              <c:strCache>
                <c:ptCount val="4"/>
                <c:pt idx="0">
                  <c:v>名軒快樂家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麗寶快樂家</c:v>
                </c:pt>
              </c:strCache>
            </c:strRef>
          </c:cat>
          <c:val>
            <c:numRef>
              <c:f>'分析-2'!$C$45:$C$49</c:f>
              <c:numCache>
                <c:formatCode>#,##0.0_ </c:formatCode>
                <c:ptCount val="4"/>
                <c:pt idx="0">
                  <c:v>24.904611300000003</c:v>
                </c:pt>
                <c:pt idx="1">
                  <c:v>26.471243928571432</c:v>
                </c:pt>
                <c:pt idx="2">
                  <c:v>25.063347428571429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0-8641-8AFA-2717BF5F36AC}"/>
            </c:ext>
          </c:extLst>
        </c:ser>
        <c:ser>
          <c:idx val="1"/>
          <c:order val="1"/>
          <c:tx>
            <c:strRef>
              <c:f>'分析-2'!$D$43:$D$44</c:f>
              <c:strCache>
                <c:ptCount val="1"/>
                <c:pt idx="0">
                  <c:v>3房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'分析-2'!$B$45:$B$49</c:f>
              <c:strCache>
                <c:ptCount val="4"/>
                <c:pt idx="0">
                  <c:v>名軒快樂家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麗寶快樂家</c:v>
                </c:pt>
              </c:strCache>
            </c:strRef>
          </c:cat>
          <c:val>
            <c:numRef>
              <c:f>'分析-2'!$D$45:$D$49</c:f>
              <c:numCache>
                <c:formatCode>#,##0.0_ </c:formatCode>
                <c:ptCount val="4"/>
                <c:pt idx="0">
                  <c:v>27.391068749999995</c:v>
                </c:pt>
                <c:pt idx="1">
                  <c:v>32.090598125</c:v>
                </c:pt>
                <c:pt idx="2">
                  <c:v>34.544738333333335</c:v>
                </c:pt>
                <c:pt idx="3">
                  <c:v>27.629138789473689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0-8641-8AFA-2717BF5F36AC}"/>
            </c:ext>
          </c:extLst>
        </c:ser>
        <c:ser>
          <c:idx val="2"/>
          <c:order val="2"/>
          <c:tx>
            <c:strRef>
              <c:f>'分析-2'!$E$43:$E$44</c:f>
              <c:strCache>
                <c:ptCount val="1"/>
                <c:pt idx="0">
                  <c:v>4房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'分析-2'!$B$45:$B$49</c:f>
              <c:strCache>
                <c:ptCount val="4"/>
                <c:pt idx="0">
                  <c:v>名軒快樂家</c:v>
                </c:pt>
                <c:pt idx="1">
                  <c:v>皇翔歡喜城</c:v>
                </c:pt>
                <c:pt idx="2">
                  <c:v>遠雄文青</c:v>
                </c:pt>
                <c:pt idx="3">
                  <c:v>麗寶快樂家</c:v>
                </c:pt>
              </c:strCache>
            </c:strRef>
          </c:cat>
          <c:val>
            <c:numRef>
              <c:f>'分析-2'!$E$45:$E$49</c:f>
              <c:numCache>
                <c:formatCode>#,##0.0_ </c:formatCode>
                <c:ptCount val="4"/>
                <c:pt idx="0">
                  <c:v>38.015467000000001</c:v>
                </c:pt>
                <c:pt idx="1">
                  <c:v>36.128837636363635</c:v>
                </c:pt>
                <c:pt idx="2">
                  <c:v>38.138486499999999</c:v>
                </c:pt>
                <c:pt idx="3">
                  <c:v>36.915596499999992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0-8641-8AFA-2717BF5F36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32581792"/>
        <c:axId val="1590916416"/>
      </c:barChart>
      <c:catAx>
        <c:axId val="16325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590916416"/>
        <c:crosses val="autoZero"/>
        <c:auto val="1"/>
        <c:lblAlgn val="ctr"/>
        <c:lblOffset val="100"/>
        <c:noMultiLvlLbl val="0"/>
      </c:catAx>
      <c:valAx>
        <c:axId val="1590916416"/>
        <c:scaling>
          <c:orientation val="minMax"/>
        </c:scaling>
        <c:delete val="1"/>
        <c:axPos val="l"/>
        <c:numFmt formatCode="#,##0.0_ " sourceLinked="1"/>
        <c:majorTickMark val="none"/>
        <c:minorTickMark val="none"/>
        <c:tickLblPos val="nextTo"/>
        <c:crossAx val="163258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[A7XLK-1103-HouseOld.xlsx]分析-2!樞紐分析表13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'分析-2'!$C$76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'分析-2'!$B$77:$B$92</c:f>
              <c:strCache>
                <c:ptCount val="15"/>
                <c:pt idx="0">
                  <c:v>85</c:v>
                </c:pt>
                <c:pt idx="1">
                  <c:v>87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103</c:v>
                </c:pt>
                <c:pt idx="6">
                  <c:v>105</c:v>
                </c:pt>
                <c:pt idx="7">
                  <c:v>110</c:v>
                </c:pt>
                <c:pt idx="8">
                  <c:v>120</c:v>
                </c:pt>
                <c:pt idx="9">
                  <c:v>150</c:v>
                </c:pt>
                <c:pt idx="10">
                  <c:v>160</c:v>
                </c:pt>
                <c:pt idx="11">
                  <c:v>165</c:v>
                </c:pt>
                <c:pt idx="12">
                  <c:v>175</c:v>
                </c:pt>
                <c:pt idx="13">
                  <c:v>226</c:v>
                </c:pt>
                <c:pt idx="14">
                  <c:v>265</c:v>
                </c:pt>
              </c:strCache>
            </c:strRef>
          </c:cat>
          <c:val>
            <c:numRef>
              <c:f>'分析-2'!$C$77:$C$92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1-504B-B254-CACE27A8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175264"/>
        <c:axId val="1339364480"/>
      </c:barChart>
      <c:catAx>
        <c:axId val="2021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9364480"/>
        <c:crosses val="autoZero"/>
        <c:auto val="1"/>
        <c:lblAlgn val="ctr"/>
        <c:lblOffset val="100"/>
        <c:noMultiLvlLbl val="0"/>
      </c:catAx>
      <c:valAx>
        <c:axId val="13393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21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 </a:t>
            </a:r>
            <a:r>
              <a:rPr lang="en-US" altLang="zh-TW" sz="2000" baseline="0">
                <a:ea typeface="楷體-繁" panose="02010600040101010101" pitchFamily="2" charset="-120"/>
              </a:rPr>
              <a:t>110</a:t>
            </a:r>
            <a:r>
              <a:rPr lang="zh-TW" altLang="en-US" sz="2000" baseline="0">
                <a:ea typeface="楷體-繁" panose="02010600040101010101" pitchFamily="2" charset="-120"/>
              </a:rPr>
              <a:t>年</a:t>
            </a:r>
            <a:r>
              <a:rPr lang="en-US" altLang="zh-TW" sz="2000" baseline="0">
                <a:ea typeface="楷體-繁" panose="02010600040101010101" pitchFamily="2" charset="-120"/>
              </a:rPr>
              <a:t> 4-6</a:t>
            </a:r>
            <a:r>
              <a:rPr lang="zh-TW" altLang="en-US" sz="2000" baseline="0">
                <a:ea typeface="楷體-繁" panose="02010600040101010101" pitchFamily="2" charset="-120"/>
              </a:rPr>
              <a:t>月 車位價格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'分析-2'!$B$126:$B$134</c:f>
              <c:strCache>
                <c:ptCount val="9"/>
                <c:pt idx="0">
                  <c:v>80-89</c:v>
                </c:pt>
                <c:pt idx="1">
                  <c:v>90-99</c:v>
                </c:pt>
                <c:pt idx="2">
                  <c:v>100-109</c:v>
                </c:pt>
                <c:pt idx="3">
                  <c:v>110-119</c:v>
                </c:pt>
                <c:pt idx="4">
                  <c:v>120-129</c:v>
                </c:pt>
                <c:pt idx="5">
                  <c:v>150-159</c:v>
                </c:pt>
                <c:pt idx="6">
                  <c:v>160-169</c:v>
                </c:pt>
                <c:pt idx="7">
                  <c:v>170-179</c:v>
                </c:pt>
                <c:pt idx="8">
                  <c:v>200-300</c:v>
                </c:pt>
              </c:strCache>
            </c:strRef>
          </c:cat>
          <c:val>
            <c:numRef>
              <c:f>'分析-2'!$C$126:$C$134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E-F045-B250-9DDD77DD7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802368"/>
        <c:axId val="1763032752"/>
      </c:barChart>
      <c:catAx>
        <c:axId val="133480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車位價格 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(</a:t>
                </a:r>
                <a:r>
                  <a:rPr lang="zh-TW" altLang="en-US" sz="1400" baseline="0">
                    <a:ea typeface="楷體-繁" panose="02010600040101010101" pitchFamily="2" charset="-120"/>
                  </a:rPr>
                  <a:t>萬元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)</a:t>
                </a:r>
                <a:endParaRPr lang="zh-TW" altLang="en-US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3032752"/>
        <c:crosses val="autoZero"/>
        <c:auto val="1"/>
        <c:lblAlgn val="ctr"/>
        <c:lblOffset val="100"/>
        <c:noMultiLvlLbl val="0"/>
      </c:catAx>
      <c:valAx>
        <c:axId val="17630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案件數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48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[A7XLK-1103-HouseOld.xlsx]分析-2!樞紐分析表14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r>
              <a:rPr lang="zh-TW" altLang="en-US" sz="2000" baseline="0">
                <a:ea typeface="楷體-繁" panose="02010600040101010101" pitchFamily="2" charset="-120"/>
              </a:rPr>
              <a:t>合宜住宅 房屋總面積及主建物面積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'分析-2'!$C$146</c:f>
              <c:strCache>
                <c:ptCount val="1"/>
                <c:pt idx="0">
                  <c:v>平均值 - 總面積(坪)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'分析-2'!$B$147:$B$150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'分析-2'!$C$147:$C$150</c:f>
              <c:numCache>
                <c:formatCode>#,##0.0_ </c:formatCode>
                <c:ptCount val="3"/>
                <c:pt idx="0">
                  <c:v>42.177419354838726</c:v>
                </c:pt>
                <c:pt idx="1">
                  <c:v>51.991846153846154</c:v>
                </c:pt>
                <c:pt idx="2">
                  <c:v>60.582999999999998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4-C747-B334-FE4D7EE8EC05}"/>
            </c:ext>
          </c:extLst>
        </c:ser>
        <c:ser>
          <c:idx val="2"/>
          <c:order val="2"/>
          <c:tx>
            <c:strRef>
              <c:f>'分析-2'!$E$146</c:f>
              <c:strCache>
                <c:ptCount val="1"/>
                <c:pt idx="0">
                  <c:v>平均值 - 房屋坪數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'分析-2'!$B$147:$B$150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'分析-2'!$E$147:$E$150</c:f>
              <c:numCache>
                <c:formatCode>#,##0.0_ </c:formatCode>
                <c:ptCount val="3"/>
                <c:pt idx="0">
                  <c:v>25.647966451612902</c:v>
                </c:pt>
                <c:pt idx="1">
                  <c:v>30.18705198461539</c:v>
                </c:pt>
                <c:pt idx="2">
                  <c:v>36.64857966666667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4-C747-B334-FE4D7EE8EC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03887648"/>
        <c:axId val="1565509568"/>
      </c:barChart>
      <c:lineChart>
        <c:grouping val="standard"/>
        <c:varyColors val="0"/>
        <c:ser>
          <c:idx val="1"/>
          <c:order val="1"/>
          <c:tx>
            <c:strRef>
              <c:f>'分析-2'!$D$146</c:f>
              <c:strCache>
                <c:ptCount val="1"/>
                <c:pt idx="0">
                  <c:v>平均值 - 主建物佔比（%)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'分析-2'!$B$147:$B$150</c:f>
              <c:strCache>
                <c:ptCount val="3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</c:strCache>
            </c:strRef>
          </c:cat>
          <c:val>
            <c:numRef>
              <c:f>'分析-2'!$D$147:$D$150</c:f>
              <c:numCache>
                <c:formatCode>0.00_ </c:formatCode>
                <c:ptCount val="3"/>
                <c:pt idx="0">
                  <c:v>60.891612903225784</c:v>
                </c:pt>
                <c:pt idx="1">
                  <c:v>58.274307692307701</c:v>
                </c:pt>
                <c:pt idx="2">
                  <c:v>60.624666666666677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4-C747-B334-FE4D7EE8E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103872"/>
        <c:axId val="1591761424"/>
      </c:lineChart>
      <c:catAx>
        <c:axId val="13038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1565509568"/>
        <c:crosses val="autoZero"/>
        <c:auto val="1"/>
        <c:lblAlgn val="ctr"/>
        <c:lblOffset val="100"/>
        <c:noMultiLvlLbl val="0"/>
      </c:catAx>
      <c:valAx>
        <c:axId val="1565509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面積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(</a:t>
                </a:r>
                <a:r>
                  <a:rPr lang="zh-TW" altLang="en-US" sz="1400" baseline="0">
                    <a:ea typeface="楷體-繁" panose="02010600040101010101" pitchFamily="2" charset="-120"/>
                  </a:rPr>
                  <a:t>坪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)</a:t>
                </a:r>
                <a:endParaRPr lang="zh-TW" altLang="en-US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3887648"/>
        <c:crosses val="autoZero"/>
        <c:crossBetween val="between"/>
      </c:valAx>
      <c:valAx>
        <c:axId val="15917614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主建物佔比</a:t>
                </a:r>
                <a:r>
                  <a:rPr lang="en-US" altLang="zh-TW" sz="1400" baseline="0">
                    <a:ea typeface="楷體-繁" panose="02010600040101010101" pitchFamily="2" charset="-120"/>
                  </a:rPr>
                  <a:t> %</a:t>
                </a:r>
                <a:endParaRPr lang="zh-TW" altLang="en-US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4103872"/>
        <c:crosses val="max"/>
        <c:crossBetween val="between"/>
      </c:valAx>
      <c:catAx>
        <c:axId val="130410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17614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93FA2C2-7468-394F-97A9-02FC0D3A313A}" formatIdx="0">
          <cx:tx>
            <cx:txData>
              <cx:f>_xlchart.v1.0</cx:f>
              <cx:v>車位價格</cx:v>
            </cx:txData>
          </cx:tx>
          <cx:dataId val="0"/>
          <cx:layoutPr>
            <cx:binning intervalClosed="r"/>
          </cx:layoutPr>
        </cx:series>
        <cx:series layoutId="clusteredColumn" hidden="1" uniqueId="{1D675E92-1E2D-4C4F-A25A-E8D359202DBA}" formatIdx="1">
          <cx:tx>
            <cx:txData>
              <cx:f>_xlchart.v1.2</cx:f>
              <cx:v>個數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majorGridlines/>
        <cx:minorGridlines/>
        <cx:majorTickMarks type="in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title pos="t" align="ctr" overlay="0"/>
    <cx:plotArea>
      <cx:plotAreaRegion>
        <cx:series layoutId="clusteredColumn" uniqueId="{DD98F8DF-E035-6741-8333-124C87D227EC}" formatIdx="0">
          <cx:tx>
            <cx:txData>
              <cx:f>_xlchart.v1.24</cx:f>
              <cx:v>車位價格</cx:v>
            </cx:txData>
          </cx:tx>
          <cx:dataId val="0"/>
          <cx:layoutPr>
            <cx:binning intervalClosed="r"/>
          </cx:layoutPr>
        </cx:series>
        <cx:series layoutId="clusteredColumn" hidden="1" uniqueId="{E67E8E82-E886-AC44-B104-67ADFACD3F36}" formatIdx="1">
          <cx:tx>
            <cx:txData>
              <cx:f>_xlchart.v1.26</cx:f>
              <cx:v>個數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0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</xdr:row>
      <xdr:rowOff>19050</xdr:rowOff>
    </xdr:from>
    <xdr:to>
      <xdr:col>16</xdr:col>
      <xdr:colOff>673100</xdr:colOff>
      <xdr:row>20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583F302-1F4E-6D45-A243-DFCFBD47B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58</xdr:row>
      <xdr:rowOff>171450</xdr:rowOff>
    </xdr:from>
    <xdr:to>
      <xdr:col>16</xdr:col>
      <xdr:colOff>609600</xdr:colOff>
      <xdr:row>82</xdr:row>
      <xdr:rowOff>177800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6B64651-F5EE-E84D-AA37-019A4372E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330200</xdr:colOff>
      <xdr:row>25</xdr:row>
      <xdr:rowOff>146050</xdr:rowOff>
    </xdr:from>
    <xdr:to>
      <xdr:col>17</xdr:col>
      <xdr:colOff>990600</xdr:colOff>
      <xdr:row>49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B18077B-7611-CE43-AC56-AF3BDC041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88</xdr:row>
      <xdr:rowOff>6350</xdr:rowOff>
    </xdr:from>
    <xdr:to>
      <xdr:col>16</xdr:col>
      <xdr:colOff>88900</xdr:colOff>
      <xdr:row>105</xdr:row>
      <xdr:rowOff>88900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7A27A6A-B93E-214D-B451-CB86249BF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317500</xdr:colOff>
      <xdr:row>111</xdr:row>
      <xdr:rowOff>44450</xdr:rowOff>
    </xdr:from>
    <xdr:to>
      <xdr:col>17</xdr:col>
      <xdr:colOff>698500</xdr:colOff>
      <xdr:row>132</xdr:row>
      <xdr:rowOff>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244DF87-FE25-EF40-BA13-3E410FC83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13</xdr:row>
      <xdr:rowOff>146050</xdr:rowOff>
    </xdr:from>
    <xdr:to>
      <xdr:col>17</xdr:col>
      <xdr:colOff>749300</xdr:colOff>
      <xdr:row>38</xdr:row>
      <xdr:rowOff>139700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9503885-9699-7F4C-B03E-CF7B9654D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101600</xdr:colOff>
      <xdr:row>44</xdr:row>
      <xdr:rowOff>95250</xdr:rowOff>
    </xdr:from>
    <xdr:to>
      <xdr:col>19</xdr:col>
      <xdr:colOff>254000</xdr:colOff>
      <xdr:row>65</xdr:row>
      <xdr:rowOff>114300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A5FAD8D-A79D-AC49-84EE-6610DF2F8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215900</xdr:colOff>
      <xdr:row>72</xdr:row>
      <xdr:rowOff>146050</xdr:rowOff>
    </xdr:from>
    <xdr:to>
      <xdr:col>18</xdr:col>
      <xdr:colOff>292100</xdr:colOff>
      <xdr:row>93</xdr:row>
      <xdr:rowOff>152400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F1A573C-2D07-3D49-B504-1407B07AA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787400</xdr:colOff>
      <xdr:row>104</xdr:row>
      <xdr:rowOff>107950</xdr:rowOff>
    </xdr:from>
    <xdr:to>
      <xdr:col>13</xdr:col>
      <xdr:colOff>406400</xdr:colOff>
      <xdr:row>118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圖表 6">
              <a:extLst>
                <a:ext uri="{FF2B5EF4-FFF2-40B4-BE49-F238E27FC236}">
                  <a16:creationId xmlns:a16="http://schemas.microsoft.com/office/drawing/2014/main" id="{C9BAC87B-013F-CF4A-B958-865CB45ABE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19919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10</xdr:col>
      <xdr:colOff>215900</xdr:colOff>
      <xdr:row>98</xdr:row>
      <xdr:rowOff>146050</xdr:rowOff>
    </xdr:from>
    <xdr:to>
      <xdr:col>15</xdr:col>
      <xdr:colOff>660400</xdr:colOff>
      <xdr:row>113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圖表 7">
              <a:extLst>
                <a:ext uri="{FF2B5EF4-FFF2-40B4-BE49-F238E27FC236}">
                  <a16:creationId xmlns:a16="http://schemas.microsoft.com/office/drawing/2014/main" id="{42B9DA5A-B8E4-E347-AD80-09D9FEC8A2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300" y="18815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9</xdr:col>
      <xdr:colOff>355600</xdr:colOff>
      <xdr:row>123</xdr:row>
      <xdr:rowOff>6350</xdr:rowOff>
    </xdr:from>
    <xdr:to>
      <xdr:col>16</xdr:col>
      <xdr:colOff>76200</xdr:colOff>
      <xdr:row>140</xdr:row>
      <xdr:rowOff>63500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51FF07B9-691F-C045-89EA-0B8114C30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25400</xdr:colOff>
      <xdr:row>147</xdr:row>
      <xdr:rowOff>146050</xdr:rowOff>
    </xdr:from>
    <xdr:to>
      <xdr:col>14</xdr:col>
      <xdr:colOff>279400</xdr:colOff>
      <xdr:row>167</xdr:row>
      <xdr:rowOff>177800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E73CBB18-F1EA-2C42-BC4F-ABA7CF017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16</xdr:col>
      <xdr:colOff>736600</xdr:colOff>
      <xdr:row>39</xdr:row>
      <xdr:rowOff>76200</xdr:rowOff>
    </xdr:to>
    <xdr:pic>
      <xdr:nvPicPr>
        <xdr:cNvPr id="2" name="圖片 1" descr="未提供相片說明。">
          <a:extLst>
            <a:ext uri="{FF2B5EF4-FFF2-40B4-BE49-F238E27FC236}">
              <a16:creationId xmlns:a16="http://schemas.microsoft.com/office/drawing/2014/main" id="{DA79FE6F-A0AB-3747-B928-40CA90E6C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143000"/>
          <a:ext cx="11468100" cy="803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56</xdr:row>
      <xdr:rowOff>0</xdr:rowOff>
    </xdr:from>
    <xdr:to>
      <xdr:col>17</xdr:col>
      <xdr:colOff>76200</xdr:colOff>
      <xdr:row>85</xdr:row>
      <xdr:rowOff>228600</xdr:rowOff>
    </xdr:to>
    <xdr:pic>
      <xdr:nvPicPr>
        <xdr:cNvPr id="3" name="圖片 2" descr="可能是顯示的文字是「總戶數 四月 遠雄合宜 1272 皇翔合宜 1780 17 名軒合宜 2(更早) 麗寶合宜 897 11 A7合宜實價登録數據（73止） 五月 六月 平均單價（萬/坪） 特殊交易戶累計過戶數占比 2房2+1房3房4房 4 21.2 10 0.79% 2無 6 6 21 34 1.91% 10 8 21.6 2 0.39% 0 23.6 2 0.22% 1 8 特殊交易： 親友、 員工、 共有人或其他特殊關係間之交易； 不計入平均單價計價 A7合宜實價登錄數據（7/14止） 總戶數 四月 五月 六月 平均單價（萬/坪） 特殊交易戶累計過戶數占比 2房2+1房3房4房 遠雄合宜 1272 2 10 2 22.7 7 21 1.65% 6無 11 皇翔合宜 1780 19 11 20 13 43 2.42% 9 名軒合宜 5142(更早) 21.6 1 3 0.58% 0 麗寶合宜 897 21.9 2 5 0.56% 2 3 特殊交易： 親友、 10 12 共有人或其他特殊關係間之交易； 不計入平均單價計價」的圖像">
          <a:extLst>
            <a:ext uri="{FF2B5EF4-FFF2-40B4-BE49-F238E27FC236}">
              <a16:creationId xmlns:a16="http://schemas.microsoft.com/office/drawing/2014/main" id="{F41F3DF6-C022-8A43-A4DA-90591CDAA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10668000"/>
          <a:ext cx="12827000" cy="722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411.652574652777" createdVersion="7" refreshedVersion="7" minRefreshableVersion="3" recordCount="126" xr:uid="{1BE24F43-22E7-2845-A154-20052EC308B1}">
  <cacheSource type="worksheet">
    <worksheetSource ref="A1:T127" sheet="Data"/>
  </cacheSource>
  <cacheFields count="20">
    <cacheField name="NO" numFmtId="49">
      <sharedItems count="126">
        <s v="0093"/>
        <s v="0101"/>
        <s v="0105"/>
        <s v="0111"/>
        <s v="0106"/>
        <s v="0098"/>
        <s v="0125"/>
        <s v="0112"/>
        <s v="0120"/>
        <s v="0119"/>
        <s v="0121"/>
        <s v="0107"/>
        <s v="0113"/>
        <s v="0115"/>
        <s v="0118"/>
        <s v="0100"/>
        <s v="0097"/>
        <s v="0116"/>
        <s v="0122"/>
        <s v="0123"/>
        <s v="0103"/>
        <s v="0102"/>
        <s v="0109"/>
        <s v="0117"/>
        <s v="0104"/>
        <s v="0095"/>
        <s v="0099"/>
        <s v="0108"/>
        <s v="0126"/>
        <s v="0096"/>
        <s v="0110"/>
        <s v="0114"/>
        <s v="0094"/>
        <s v="0124"/>
        <s v="0004"/>
        <s v="0015"/>
        <s v="0040"/>
        <s v="0037"/>
        <s v="0046"/>
        <s v="0039"/>
        <s v="0045"/>
        <s v="0017"/>
        <s v="0048"/>
        <s v="0044"/>
        <s v="0069"/>
        <s v="0025"/>
        <s v="0033"/>
        <s v="0073"/>
        <s v="0016"/>
        <s v="0013"/>
        <s v="0057"/>
        <s v="0053"/>
        <s v="0041"/>
        <s v="0023"/>
        <s v="0019"/>
        <s v="0026"/>
        <s v="0038"/>
        <s v="0002"/>
        <s v="0024"/>
        <s v="0005"/>
        <s v="0009"/>
        <s v="0071"/>
        <s v="0007"/>
        <s v="0003"/>
        <s v="0032"/>
        <s v="0036"/>
        <s v="0028"/>
        <s v="0010"/>
        <s v="0042"/>
        <s v="0047"/>
        <s v="0055"/>
        <s v="0012"/>
        <s v="0077"/>
        <s v="0078"/>
        <s v="0080"/>
        <s v="0050"/>
        <s v="0067"/>
        <s v="0060"/>
        <s v="0018"/>
        <s v="0058"/>
        <s v="0076"/>
        <s v="0070"/>
        <s v="0079"/>
        <s v="0061"/>
        <s v="0066"/>
        <s v="0074"/>
        <s v="0031"/>
        <s v="0081"/>
        <s v="0021"/>
        <s v="0075"/>
        <s v="0049"/>
        <s v="0020"/>
        <s v="0043"/>
        <s v="0008"/>
        <s v="0035"/>
        <s v="0014"/>
        <s v="0011"/>
        <s v="0091"/>
        <s v="0022"/>
        <s v="0088"/>
        <s v="0072"/>
        <s v="0006"/>
        <s v="0083"/>
        <s v="0085"/>
        <s v="0062"/>
        <s v="0068"/>
        <s v="0054"/>
        <s v="0001"/>
        <s v="0087"/>
        <s v="0089"/>
        <s v="0064"/>
        <s v="0030"/>
        <s v="0065"/>
        <s v="0090"/>
        <s v="0082"/>
        <s v="0052"/>
        <s v="0086"/>
        <s v="0056"/>
        <s v="0029"/>
        <s v="0034"/>
        <s v="0092"/>
        <s v="0084"/>
        <s v="0059"/>
        <s v="0063"/>
        <s v="0027"/>
        <s v="0051"/>
      </sharedItems>
    </cacheField>
    <cacheField name="社區" numFmtId="0">
      <sharedItems count="4">
        <s v="皇翔歡喜城"/>
        <s v="遠雄文青"/>
        <s v="名軒快樂家"/>
        <s v="麗寶快樂家"/>
      </sharedItems>
    </cacheField>
    <cacheField name="地址" numFmtId="0">
      <sharedItems/>
    </cacheField>
    <cacheField name="總價（萬元）" numFmtId="176">
      <sharedItems containsSemiMixedTypes="0" containsString="0" containsNumber="1" minValue="325" maxValue="1370"/>
    </cacheField>
    <cacheField name="交易年月" numFmtId="0">
      <sharedItems/>
    </cacheField>
    <cacheField name="交易年" numFmtId="0">
      <sharedItems containsSemiMixedTypes="0" containsString="0" containsNumber="1" containsInteger="1" minValue="110" maxValue="110"/>
    </cacheField>
    <cacheField name="交易月" numFmtId="0">
      <sharedItems containsSemiMixedTypes="0" containsString="0" containsNumber="1" containsInteger="1" minValue="1" maxValue="6" count="6">
        <n v="6"/>
        <n v="5"/>
        <n v="4"/>
        <n v="3"/>
        <n v="1"/>
        <n v="2"/>
      </sharedItems>
    </cacheField>
    <cacheField name="每坪單價(萬元/坪)" numFmtId="178">
      <sharedItems containsSemiMixedTypes="0" containsString="0" containsNumber="1" minValue="8.3000000000000007" maxValue="30.4"/>
    </cacheField>
    <cacheField name="總面積(坪)" numFmtId="179">
      <sharedItems containsSemiMixedTypes="0" containsString="0" containsNumber="1" minValue="31.14" maxValue="78.709999999999994" count="64">
        <n v="45.62"/>
        <n v="42.15"/>
        <n v="58.51"/>
        <n v="56.98"/>
        <n v="59.98"/>
        <n v="70.989999999999995"/>
        <n v="62.64"/>
        <n v="40.67"/>
        <n v="44.8"/>
        <n v="54.59"/>
        <n v="44.14"/>
        <n v="69.510000000000005"/>
        <n v="61.18"/>
        <n v="61.19"/>
        <n v="45.24"/>
        <n v="71.930000000000007"/>
        <n v="53.9"/>
        <n v="58.82"/>
        <n v="76.36"/>
        <n v="35.340000000000003"/>
        <n v="59.08"/>
        <n v="59.05"/>
        <n v="78.709999999999994"/>
        <n v="57.03"/>
        <n v="72.930000000000007"/>
        <n v="54.47"/>
        <n v="65.849999999999994"/>
        <n v="58.06"/>
        <n v="67.72"/>
        <n v="57.91"/>
        <n v="54.34"/>
        <n v="33.770000000000003"/>
        <n v="60.84"/>
        <n v="60.75"/>
        <n v="45.14"/>
        <n v="72.31"/>
        <n v="43.51"/>
        <n v="45.1"/>
        <n v="33.729999999999997"/>
        <n v="31.14"/>
        <n v="55.51"/>
        <n v="44.09"/>
        <n v="53.11"/>
        <n v="54.25"/>
        <n v="58.97"/>
        <n v="46.42"/>
        <n v="55.81"/>
        <n v="47.21"/>
        <n v="49.14"/>
        <n v="49.91"/>
        <n v="40.65"/>
        <n v="58.76"/>
        <n v="40.18"/>
        <n v="49.48"/>
        <n v="41.25"/>
        <n v="46.75"/>
        <n v="52.49"/>
        <n v="69.36"/>
        <n v="41.68"/>
        <n v="49.92"/>
        <n v="40.840000000000003"/>
        <n v="39.29"/>
        <n v="51.16"/>
        <n v="49.43"/>
      </sharedItems>
    </cacheField>
    <cacheField name="主建物佔比（%)" numFmtId="179">
      <sharedItems containsSemiMixedTypes="0" containsString="0" containsNumber="1" minValue="37.950000000000003" maxValue="67.489999999999995" count="62">
        <n v="63.36"/>
        <n v="46.62"/>
        <n v="63.21"/>
        <n v="63.1"/>
        <n v="50.95"/>
        <n v="62.78"/>
        <n v="43.61"/>
        <n v="51.61"/>
        <n v="48.31"/>
        <n v="58.25"/>
        <n v="48.07"/>
        <n v="50.12"/>
        <n v="63.15"/>
        <n v="49.68"/>
        <n v="44.53"/>
        <n v="53.29"/>
        <n v="65.290000000000006"/>
        <n v="64.489999999999995"/>
        <n v="50.97"/>
        <n v="50.9"/>
        <n v="63.09"/>
        <n v="62.71"/>
        <n v="61.82"/>
        <n v="50.55"/>
        <n v="62.79"/>
        <n v="37.950000000000003"/>
        <n v="65.02"/>
        <n v="44.7"/>
        <n v="63.74"/>
        <n v="41.73"/>
        <n v="51.57"/>
        <n v="64.33"/>
        <n v="63.93"/>
        <n v="64.989999999999995"/>
        <n v="53.51"/>
        <n v="53.75"/>
        <n v="66.02"/>
        <n v="65.849999999999994"/>
        <n v="64.89"/>
        <n v="65.06"/>
        <n v="65.069999999999993"/>
        <n v="63.37"/>
        <n v="66.290000000000006"/>
        <n v="67.489999999999995"/>
        <n v="67.34"/>
        <n v="64.61"/>
        <n v="64.63"/>
        <n v="64.64"/>
        <n v="60.19"/>
        <n v="57.93"/>
        <n v="59.49"/>
        <n v="65.38"/>
        <n v="59.6"/>
        <n v="57.96"/>
        <n v="66.41"/>
        <n v="51.15"/>
        <n v="58.48"/>
        <n v="66.760000000000005"/>
        <n v="58.27"/>
        <n v="60.76"/>
        <n v="60.24"/>
        <n v="57.99"/>
      </sharedItems>
    </cacheField>
    <cacheField name="房屋坪數" numFmtId="179">
      <sharedItems containsSemiMixedTypes="0" containsString="0" containsNumber="1" minValue="19.647677000000002" maxValue="47.885356000000002" count="77">
        <n v="28.904831999999995"/>
        <n v="19.65033"/>
        <n v="36.984171000000003"/>
        <n v="26.59665"/>
        <n v="29.031309999999998"/>
        <n v="37.913357999999995"/>
        <n v="44.872779000000001"/>
        <n v="39.325392000000001"/>
        <n v="30.958738999999994"/>
        <n v="30.955677999999999"/>
        <n v="19.647677000000002"/>
        <n v="26.096"/>
        <n v="34.271602000000001"/>
        <n v="25.662770000000002"/>
        <n v="21.929534"/>
        <n v="27.360507999999999"/>
        <n v="35.982869999999998"/>
        <n v="21.928751999999999"/>
        <n v="30.952803000000003"/>
        <n v="32.602822000000003"/>
        <n v="39.950951000000003"/>
        <n v="29.175276"/>
        <n v="46.963097000000005"/>
        <n v="27.472829999999998"/>
        <n v="29.93938"/>
        <n v="37.109538000000001"/>
        <n v="47.885356000000002"/>
        <n v="21.847188000000003"/>
        <n v="29.864939999999997"/>
        <n v="37.077494999999999"/>
        <n v="29.870445"/>
        <n v="37.080905999999999"/>
        <n v="32.599710000000002"/>
        <n v="34.719177999999999"/>
        <n v="27.479204999999997"/>
        <n v="29.941541999999998"/>
        <n v="43.564276"/>
        <n v="37.253502999999995"/>
        <n v="34.739561999999999"/>
        <n v="21.947123000000001"/>
        <n v="32.555484"/>
        <n v="32.653125000000003"/>
        <n v="29.336486000000001"/>
        <n v="40.166568000000005"/>
        <n v="47.616134999999993"/>
        <n v="28.233638999999997"/>
        <n v="29.34206"/>
        <n v="21.948110999999994"/>
        <n v="27.971518"/>
        <n v="19.649339999999999"/>
        <n v="35.054564999999997"/>
        <n v="29.227261000000002"/>
        <n v="43.937271000000003"/>
        <n v="33.342458000000001"/>
        <n v="27.967103999999999"/>
        <n v="36.613324999999996"/>
        <n v="39.710397999999998"/>
        <n v="29.991961999999997"/>
        <n v="36.070003"/>
        <n v="30.516544"/>
        <n v="29.577365999999998"/>
        <n v="28.912862999999998"/>
        <n v="24.182685000000003"/>
        <n v="38.417287999999992"/>
        <n v="23.947279999999999"/>
        <n v="28.678608000000001"/>
        <n v="23.9085"/>
        <n v="29.751679999999997"/>
        <n v="23.912624999999998"/>
        <n v="30.696151999999998"/>
        <n v="46.304736000000005"/>
        <n v="24.286936000000001"/>
        <n v="29.088384000000001"/>
        <n v="24.814384"/>
        <n v="23.872603999999995"/>
        <n v="30.818784000000001"/>
        <n v="28.664457000000002"/>
      </sharedItems>
    </cacheField>
    <cacheField name="每坪單價B" numFmtId="179">
      <sharedItems containsSemiMixedTypes="0" containsString="0" containsNumber="1" minValue="12.775988772631411" maxValue="51.439717259164532" count="124">
        <n v="21.795663783826875"/>
        <n v="45.546308891504623"/>
        <n v="24.334734987029989"/>
        <n v="30.012839817336989"/>
        <n v="33.489210385308596"/>
        <n v="31.958912118631481"/>
        <n v="26.86754404124375"/>
        <n v="22.155779501251249"/>
        <n v="28.368959210695294"/>
        <n v="28.525088673469497"/>
        <n v="21.105956172032563"/>
        <n v="29.070951500963918"/>
        <n v="29.073826132963394"/>
        <n v="26.37592797768006"/>
        <n v="21.431270479552875"/>
        <n v="27.993131198156401"/>
        <n v="40.427651747394236"/>
        <n v="31.746400416298016"/>
        <n v="26.112168697903261"/>
        <n v="24.705049376976842"/>
        <n v="45.50940298138574"/>
        <n v="32.046752492881275"/>
        <n v="27.046281450622189"/>
        <n v="26.815204028104667"/>
        <n v="21.092881998296779"/>
        <n v="33.766067020223794"/>
        <n v="20.679296076761545"/>
        <n v="38.533884646057381"/>
        <n v="29.367291873372498"/>
        <n v="27.521418827457445"/>
        <n v="31.186169820716287"/>
        <n v="31.136662548324104"/>
        <n v="26.531445652158574"/>
        <n v="28.785297251121754"/>
        <n v="33.247329005559365"/>
        <n v="12.775988772631411"/>
        <n v="36.399599167613971"/>
        <n v="27.014587476427366"/>
        <n v="34.438585573336965"/>
        <n v="18.481641861449248"/>
        <n v="23.80169017632841"/>
        <n v="43.529302252072164"/>
        <n v="21.30672527904056"/>
        <n v="32.473570447310038"/>
        <n v="36.41022674266425"/>
        <n v="23.252420403028523"/>
        <n v="19.443969357167273"/>
        <n v="27.607607552337122"/>
        <n v="24.48214643791394"/>
        <n v="22.062734319343623"/>
        <n v="35.196685820153924"/>
        <n v="24.562793508532948"/>
        <n v="29.378575725496727"/>
        <n v="32.752039223842175"/>
        <n v="27.98787049778532"/>
        <n v="21.80685844520864"/>
        <n v="24.15880192528472"/>
        <n v="31.835932314875198"/>
        <n v="35.262390469977717"/>
        <n v="40.643140333245498"/>
        <n v="26.877192180586228"/>
        <n v="26.949947363384055"/>
        <n v="35.791607761065862"/>
        <n v="22.406694044659226"/>
        <n v="20.686265275415575"/>
        <n v="33.64780572564522"/>
        <n v="32.376731558724913"/>
        <n v="14.807652467221443"/>
        <n v="21.929449806764151"/>
        <n v="35.622811423523167"/>
        <n v="26.523088348407292"/>
        <n v="31.705899536574769"/>
        <n v="36.480483351812218"/>
        <n v="34.232346058209544"/>
        <n v="33.8388481256098"/>
        <n v="33.904365885952913"/>
        <n v="32.442391412546471"/>
        <n v="27.777262030368735"/>
        <n v="42.271760083912405"/>
        <n v="31.692419911886866"/>
        <n v="21.395216286380961"/>
        <n v="20.870925948209788"/>
        <n v="20.165112211907744"/>
        <n v="26.992611042653184"/>
        <n v="32.635689081143674"/>
        <n v="27.823052903279173"/>
        <n v="27.103271043008245"/>
        <n v="42.410074225838301"/>
        <n v="38.169220950932704"/>
        <n v="28.131834516531892"/>
        <n v="32.107459612970892"/>
        <n v="24.50656612595068"/>
        <n v="21.985027281533633"/>
        <n v="21.627612877788522"/>
        <n v="36.514407672407344"/>
        <n v="39.84385773211045"/>
        <n v="44.246534245473562"/>
        <n v="40.120551188583434"/>
        <n v="41.331085060652768"/>
        <n v="28.632942543992179"/>
        <n v="43.345214988925676"/>
        <n v="39.925229285884448"/>
        <n v="40.448267224127477"/>
        <n v="50.19135453918063"/>
        <n v="32.939316368016868"/>
        <n v="27.433207353855966"/>
        <n v="40.070169055717479"/>
        <n v="44.631001305961739"/>
        <n v="40.005014309285414"/>
        <n v="20.732220565948154"/>
        <n v="47.144687168443149"/>
        <n v="40.050351370498959"/>
        <n v="44.880095208386926"/>
        <n v="41.253580810814377"/>
        <n v="42.314167460292381"/>
        <n v="44.402361803513358"/>
        <n v="51.439717259164532"/>
        <n v="43.039553188183113"/>
        <n v="42.958954773973034"/>
        <n v="41.508183318191577"/>
        <n v="39.975620063400292"/>
        <n v="40.559679447443479"/>
        <n v="41.424604708847795"/>
        <n v="41.340395877724106"/>
      </sharedItems>
    </cacheField>
    <cacheField name="屋齡" numFmtId="0">
      <sharedItems containsSemiMixedTypes="0" containsString="0" containsNumber="1" containsInteger="1" minValue="1" maxValue="6"/>
    </cacheField>
    <cacheField name="樓別/樓高" numFmtId="0">
      <sharedItems/>
    </cacheField>
    <cacheField name="樓層" numFmtId="0">
      <sharedItems containsSemiMixedTypes="0" containsString="0" containsNumber="1" containsInteger="1" minValue="1" maxValue="22"/>
    </cacheField>
    <cacheField name="交易標的" numFmtId="0">
      <sharedItems/>
    </cacheField>
    <cacheField name="交易筆棟數" numFmtId="0">
      <sharedItems/>
    </cacheField>
    <cacheField name="建物格局" numFmtId="0">
      <sharedItems count="9">
        <s v="2房2廳1衛"/>
        <s v="4房2廳2衛"/>
        <s v="3房2廳2衛"/>
        <s v="4房1廳2衛"/>
        <s v="2房2廳2衛"/>
        <s v="2房1廳1衛"/>
        <s v="3房2廳1衛"/>
        <s v="3房1廳2衛"/>
        <s v="3房1廳1衛"/>
      </sharedItems>
    </cacheField>
    <cacheField name="臥室數" numFmtId="0">
      <sharedItems count="3">
        <s v="2房"/>
        <s v="4房"/>
        <s v="3房"/>
      </sharedItems>
    </cacheField>
    <cacheField name="車位總價" numFmtId="0">
      <sharedItems containsString="0" containsBlank="1" containsNumber="1" containsInteger="1" minValue="85" maxValue="265" count="16">
        <m/>
        <n v="100"/>
        <n v="150"/>
        <n v="87"/>
        <n v="175"/>
        <n v="103"/>
        <n v="265"/>
        <n v="85"/>
        <n v="90"/>
        <n v="110"/>
        <n v="120"/>
        <n v="226"/>
        <n v="160"/>
        <n v="105"/>
        <n v="165"/>
        <n v="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x v="0"/>
    <s v="文青二路１１號十一樓之２"/>
    <n v="630"/>
    <s v="110/06"/>
    <n v="110"/>
    <x v="0"/>
    <n v="13.8"/>
    <x v="0"/>
    <x v="0"/>
    <x v="0"/>
    <x v="0"/>
    <n v="6"/>
    <s v="十一層/二十一層"/>
    <n v="11"/>
    <s v="土 建 車"/>
    <s v="土1 建1車1"/>
    <x v="0"/>
    <x v="0"/>
    <x v="0"/>
  </r>
  <r>
    <x v="1"/>
    <x v="0"/>
    <s v="文青二路１１號十七樓之７"/>
    <n v="895"/>
    <s v="110/05"/>
    <n v="110"/>
    <x v="1"/>
    <n v="21.2"/>
    <x v="1"/>
    <x v="1"/>
    <x v="1"/>
    <x v="1"/>
    <n v="6"/>
    <s v="十七層/二十一層"/>
    <n v="17"/>
    <s v="土 建 車"/>
    <s v="土1 建1車1"/>
    <x v="0"/>
    <x v="0"/>
    <x v="0"/>
  </r>
  <r>
    <x v="2"/>
    <x v="0"/>
    <s v="文青二路１１號十九樓之１"/>
    <n v="900"/>
    <s v="110/05"/>
    <n v="110"/>
    <x v="1"/>
    <n v="16.3"/>
    <x v="2"/>
    <x v="2"/>
    <x v="2"/>
    <x v="2"/>
    <n v="6"/>
    <s v="十九層/二十一層"/>
    <n v="19"/>
    <s v="土 建 車"/>
    <s v="土1 建1車1"/>
    <x v="1"/>
    <x v="1"/>
    <x v="1"/>
  </r>
  <r>
    <x v="3"/>
    <x v="0"/>
    <s v="文青二路１１號四樓之５"/>
    <n v="1110"/>
    <s v="110/05"/>
    <n v="110"/>
    <x v="1"/>
    <n v="19.600000000000001"/>
    <x v="2"/>
    <x v="2"/>
    <x v="2"/>
    <x v="3"/>
    <n v="6"/>
    <s v="四層/二十一層"/>
    <n v="4"/>
    <s v="土 建 車"/>
    <s v="土1 建1車1"/>
    <x v="1"/>
    <x v="1"/>
    <x v="2"/>
  </r>
  <r>
    <x v="4"/>
    <x v="0"/>
    <s v="文青二路１號九樓之２"/>
    <n v="968"/>
    <s v="110/05"/>
    <n v="110"/>
    <x v="1"/>
    <n v="21.2"/>
    <x v="0"/>
    <x v="0"/>
    <x v="0"/>
    <x v="4"/>
    <n v="6"/>
    <s v="九層/二十一層"/>
    <n v="9"/>
    <s v="土 建 車"/>
    <s v="土1 建1車1"/>
    <x v="2"/>
    <x v="2"/>
    <x v="0"/>
  </r>
  <r>
    <x v="5"/>
    <x v="0"/>
    <s v="文青二路１號二十一樓之８"/>
    <n v="850"/>
    <s v="110/05"/>
    <n v="110"/>
    <x v="1"/>
    <n v="20.2"/>
    <x v="1"/>
    <x v="3"/>
    <x v="3"/>
    <x v="5"/>
    <n v="6"/>
    <s v="二十一層/二十一層"/>
    <n v="21"/>
    <s v="土 建 車"/>
    <s v="土1 建1車1"/>
    <x v="0"/>
    <x v="0"/>
    <x v="0"/>
  </r>
  <r>
    <x v="6"/>
    <x v="0"/>
    <s v="文青二路１號十七樓之９"/>
    <n v="780"/>
    <s v="110/04"/>
    <n v="110"/>
    <x v="2"/>
    <n v="13.7"/>
    <x v="3"/>
    <x v="4"/>
    <x v="4"/>
    <x v="6"/>
    <n v="6"/>
    <s v="十七層/二十一層"/>
    <n v="17"/>
    <s v="土 建 車"/>
    <s v="土1 建1車1"/>
    <x v="3"/>
    <x v="1"/>
    <x v="0"/>
  </r>
  <r>
    <x v="7"/>
    <x v="0"/>
    <s v="文青二路１號十九樓之５"/>
    <n v="840"/>
    <s v="110/05"/>
    <n v="110"/>
    <x v="1"/>
    <n v="14"/>
    <x v="4"/>
    <x v="2"/>
    <x v="5"/>
    <x v="7"/>
    <n v="6"/>
    <s v="十九層/二十一層"/>
    <n v="19"/>
    <s v="土 建 車"/>
    <s v="土1 建1車1"/>
    <x v="4"/>
    <x v="0"/>
    <x v="0"/>
  </r>
  <r>
    <x v="8"/>
    <x v="0"/>
    <s v="文青二路１號十二樓之２"/>
    <n v="820"/>
    <s v="110/04"/>
    <n v="110"/>
    <x v="2"/>
    <n v="18"/>
    <x v="0"/>
    <x v="0"/>
    <x v="0"/>
    <x v="8"/>
    <n v="6"/>
    <s v="十二層/二十一層"/>
    <n v="12"/>
    <s v="土 建 車"/>
    <s v="土1 建1車1"/>
    <x v="0"/>
    <x v="0"/>
    <x v="0"/>
  </r>
  <r>
    <x v="9"/>
    <x v="0"/>
    <s v="文青二路１號十八樓之５"/>
    <n v="1280"/>
    <s v="110/04"/>
    <n v="110"/>
    <x v="2"/>
    <n v="18"/>
    <x v="5"/>
    <x v="2"/>
    <x v="6"/>
    <x v="9"/>
    <n v="6"/>
    <s v="十八層/二十一層"/>
    <n v="18"/>
    <s v="土 建 車"/>
    <s v="土1 建1車2"/>
    <x v="1"/>
    <x v="1"/>
    <x v="0"/>
  </r>
  <r>
    <x v="10"/>
    <x v="0"/>
    <s v="文青二路２１號八樓之９"/>
    <n v="830"/>
    <s v="110/04"/>
    <n v="110"/>
    <x v="2"/>
    <n v="13.2"/>
    <x v="6"/>
    <x v="5"/>
    <x v="7"/>
    <x v="10"/>
    <n v="6"/>
    <s v="八層/二十一層"/>
    <n v="8"/>
    <s v="土 建 車"/>
    <s v="土1 建1車2"/>
    <x v="2"/>
    <x v="2"/>
    <x v="0"/>
  </r>
  <r>
    <x v="11"/>
    <x v="0"/>
    <s v="文青二路２１號十二樓之５"/>
    <n v="900"/>
    <s v="110/05"/>
    <n v="110"/>
    <x v="1"/>
    <n v="12.7"/>
    <x v="5"/>
    <x v="6"/>
    <x v="8"/>
    <x v="11"/>
    <n v="6"/>
    <s v="十二層/二十一層"/>
    <n v="12"/>
    <s v="土 建 車"/>
    <s v="土1 建1車2"/>
    <x v="2"/>
    <x v="2"/>
    <x v="0"/>
  </r>
  <r>
    <x v="12"/>
    <x v="0"/>
    <s v="文青二路２１號十八樓之１"/>
    <n v="900"/>
    <s v="110/05"/>
    <n v="110"/>
    <x v="1"/>
    <n v="15"/>
    <x v="4"/>
    <x v="7"/>
    <x v="9"/>
    <x v="12"/>
    <n v="6"/>
    <s v="十八層/二十一層"/>
    <n v="18"/>
    <s v="土 建 車"/>
    <s v="土1 建1車1"/>
    <x v="1"/>
    <x v="1"/>
    <x v="0"/>
  </r>
  <r>
    <x v="13"/>
    <x v="0"/>
    <s v="文青二路２１號十五樓之５"/>
    <n v="1000"/>
    <s v="110/04"/>
    <n v="110"/>
    <x v="2"/>
    <n v="16.7"/>
    <x v="4"/>
    <x v="2"/>
    <x v="5"/>
    <x v="13"/>
    <n v="6"/>
    <s v="十五層/二十一層"/>
    <n v="15"/>
    <s v="土 建 車"/>
    <s v="土1 建1車1"/>
    <x v="3"/>
    <x v="1"/>
    <x v="0"/>
  </r>
  <r>
    <x v="14"/>
    <x v="0"/>
    <s v="文青二路２１號十六樓之７"/>
    <n v="570"/>
    <s v="110/04"/>
    <n v="110"/>
    <x v="2"/>
    <n v="13.5"/>
    <x v="1"/>
    <x v="3"/>
    <x v="3"/>
    <x v="14"/>
    <n v="6"/>
    <s v="十六層/二十一層"/>
    <n v="16"/>
    <s v="土 建 車"/>
    <s v="土1 建1車1"/>
    <x v="5"/>
    <x v="0"/>
    <x v="0"/>
  </r>
  <r>
    <x v="15"/>
    <x v="0"/>
    <s v="文青二路２１號四樓之８"/>
    <n v="550"/>
    <s v="110/05"/>
    <n v="110"/>
    <x v="1"/>
    <n v="13.5"/>
    <x v="7"/>
    <x v="8"/>
    <x v="10"/>
    <x v="15"/>
    <n v="6"/>
    <s v="四層/二十一層"/>
    <n v="4"/>
    <s v="土 建 車"/>
    <s v="土1 建1車1"/>
    <x v="0"/>
    <x v="0"/>
    <x v="0"/>
  </r>
  <r>
    <x v="16"/>
    <x v="0"/>
    <s v="文青二路３３號"/>
    <n v="1055"/>
    <s v="110/05"/>
    <n v="110"/>
    <x v="1"/>
    <n v="23.5"/>
    <x v="8"/>
    <x v="9"/>
    <x v="11"/>
    <x v="16"/>
    <n v="6"/>
    <s v="一層/二十一層"/>
    <n v="1"/>
    <s v="土 建 車"/>
    <s v="土1 建1車1"/>
    <x v="0"/>
    <x v="0"/>
    <x v="0"/>
  </r>
  <r>
    <x v="17"/>
    <x v="0"/>
    <s v="文青二路３９號八樓之８"/>
    <n v="850"/>
    <s v="110/04"/>
    <n v="110"/>
    <x v="2"/>
    <n v="20.2"/>
    <x v="1"/>
    <x v="3"/>
    <x v="3"/>
    <x v="5"/>
    <n v="6"/>
    <s v="八層/十九層"/>
    <n v="8"/>
    <s v="土 建 車"/>
    <s v="土1 建1車1"/>
    <x v="0"/>
    <x v="0"/>
    <x v="0"/>
  </r>
  <r>
    <x v="18"/>
    <x v="0"/>
    <s v="文青二路３９號八樓之９"/>
    <n v="1088"/>
    <s v="110/04"/>
    <n v="110"/>
    <x v="2"/>
    <n v="19.899999999999999"/>
    <x v="9"/>
    <x v="5"/>
    <x v="12"/>
    <x v="17"/>
    <n v="6"/>
    <s v="八層/十九層"/>
    <n v="8"/>
    <s v="土 建 車"/>
    <s v="土1 建1車1"/>
    <x v="2"/>
    <x v="2"/>
    <x v="0"/>
  </r>
  <r>
    <x v="19"/>
    <x v="0"/>
    <s v="文青二路３９號十九樓之５"/>
    <n v="990"/>
    <s v="110/04"/>
    <n v="110"/>
    <x v="2"/>
    <n v="16.5"/>
    <x v="4"/>
    <x v="2"/>
    <x v="5"/>
    <x v="18"/>
    <n v="6"/>
    <s v="十九層/十九層"/>
    <n v="19"/>
    <s v="土 建 車"/>
    <s v="土1 建1車1"/>
    <x v="1"/>
    <x v="1"/>
    <x v="0"/>
  </r>
  <r>
    <x v="20"/>
    <x v="0"/>
    <s v="文青二路３９號十五樓之７"/>
    <n v="634"/>
    <s v="110/05"/>
    <n v="110"/>
    <x v="1"/>
    <n v="15.6"/>
    <x v="7"/>
    <x v="3"/>
    <x v="13"/>
    <x v="19"/>
    <n v="6"/>
    <s v="十五層/十九層"/>
    <n v="15"/>
    <s v="土 建 車"/>
    <s v="土1 建1車1"/>
    <x v="5"/>
    <x v="0"/>
    <x v="0"/>
  </r>
  <r>
    <x v="21"/>
    <x v="0"/>
    <s v="文青二路５３號十三樓之３"/>
    <n v="998"/>
    <s v="110/05"/>
    <n v="110"/>
    <x v="1"/>
    <n v="21.9"/>
    <x v="0"/>
    <x v="10"/>
    <x v="14"/>
    <x v="20"/>
    <n v="6"/>
    <s v="十三層/十九層"/>
    <n v="13"/>
    <s v="土 建 車"/>
    <s v="土1 建1車1"/>
    <x v="0"/>
    <x v="0"/>
    <x v="0"/>
  </r>
  <r>
    <x v="22"/>
    <x v="0"/>
    <s v="文青二路５３號十四樓之１"/>
    <n v="1215"/>
    <s v="110/05"/>
    <n v="110"/>
    <x v="1"/>
    <n v="20.3"/>
    <x v="4"/>
    <x v="2"/>
    <x v="5"/>
    <x v="21"/>
    <n v="6"/>
    <s v="十四層/十九層"/>
    <n v="14"/>
    <s v="土 建 車"/>
    <s v="土1 建1車1"/>
    <x v="1"/>
    <x v="1"/>
    <x v="0"/>
  </r>
  <r>
    <x v="23"/>
    <x v="0"/>
    <s v="文青二路５３號十樓之９"/>
    <n v="740"/>
    <s v="110/04"/>
    <n v="110"/>
    <x v="2"/>
    <n v="13.6"/>
    <x v="9"/>
    <x v="11"/>
    <x v="15"/>
    <x v="22"/>
    <n v="6"/>
    <s v="十層/十九層"/>
    <n v="10"/>
    <s v="土 建 車"/>
    <s v="土1 建1車1"/>
    <x v="2"/>
    <x v="2"/>
    <x v="0"/>
  </r>
  <r>
    <x v="24"/>
    <x v="0"/>
    <s v="文青二路５３號五樓之９"/>
    <n v="919"/>
    <s v="110/05"/>
    <n v="110"/>
    <x v="1"/>
    <n v="16.8"/>
    <x v="9"/>
    <x v="5"/>
    <x v="12"/>
    <x v="23"/>
    <n v="6"/>
    <s v="五層/十九層"/>
    <n v="5"/>
    <s v="土 建 車"/>
    <s v="土1 建1車1"/>
    <x v="2"/>
    <x v="2"/>
    <x v="0"/>
  </r>
  <r>
    <x v="25"/>
    <x v="0"/>
    <s v="文青二路６７號十三樓之８"/>
    <n v="561"/>
    <s v="110/05"/>
    <n v="110"/>
    <x v="1"/>
    <n v="15.2"/>
    <x v="1"/>
    <x v="3"/>
    <x v="3"/>
    <x v="24"/>
    <n v="6"/>
    <s v="十三層/十九層"/>
    <n v="13"/>
    <s v="土 建 車"/>
    <s v="土1 建1車1"/>
    <x v="0"/>
    <x v="0"/>
    <x v="3"/>
  </r>
  <r>
    <x v="26"/>
    <x v="0"/>
    <s v="文青二路６７號十五樓之６"/>
    <n v="1215"/>
    <s v="110/05"/>
    <n v="110"/>
    <x v="1"/>
    <n v="23.2"/>
    <x v="3"/>
    <x v="12"/>
    <x v="16"/>
    <x v="25"/>
    <n v="6"/>
    <s v="十五層/十九層"/>
    <n v="15"/>
    <s v="土 建 車"/>
    <s v="土1 建1車1"/>
    <x v="1"/>
    <x v="1"/>
    <x v="2"/>
  </r>
  <r>
    <x v="27"/>
    <x v="0"/>
    <s v="文青二路６７號五樓之７"/>
    <n v="550"/>
    <s v="110/05"/>
    <n v="110"/>
    <x v="1"/>
    <n v="13"/>
    <x v="1"/>
    <x v="3"/>
    <x v="3"/>
    <x v="26"/>
    <n v="6"/>
    <s v="五層/十九層"/>
    <n v="5"/>
    <s v="土 建 車"/>
    <s v="土1 建1車1"/>
    <x v="0"/>
    <x v="0"/>
    <x v="0"/>
  </r>
  <r>
    <x v="28"/>
    <x v="0"/>
    <s v="文青二路６７號四樓之３"/>
    <n v="845"/>
    <s v="110/03"/>
    <n v="110"/>
    <x v="3"/>
    <n v="19.100000000000001"/>
    <x v="10"/>
    <x v="13"/>
    <x v="17"/>
    <x v="27"/>
    <n v="6"/>
    <s v="四層/十九層"/>
    <n v="4"/>
    <s v="土 建 車"/>
    <s v="土1 建1車1"/>
    <x v="6"/>
    <x v="2"/>
    <x v="1"/>
  </r>
  <r>
    <x v="29"/>
    <x v="0"/>
    <s v="文青二路８５號二十樓之１"/>
    <n v="840"/>
    <s v="110/05"/>
    <n v="110"/>
    <x v="1"/>
    <n v="14"/>
    <x v="4"/>
    <x v="2"/>
    <x v="5"/>
    <x v="7"/>
    <n v="6"/>
    <s v="二十層/二十一層"/>
    <n v="20"/>
    <s v="土 建 車"/>
    <s v="土1 建1車1"/>
    <x v="1"/>
    <x v="1"/>
    <x v="0"/>
  </r>
  <r>
    <x v="30"/>
    <x v="0"/>
    <s v="文青二路８５號八樓之５"/>
    <n v="909"/>
    <s v="110/05"/>
    <n v="110"/>
    <x v="1"/>
    <n v="13.1"/>
    <x v="11"/>
    <x v="14"/>
    <x v="18"/>
    <x v="28"/>
    <n v="6"/>
    <s v="八層/二十一層"/>
    <n v="8"/>
    <s v="土 建 車"/>
    <s v="土1 建1車2"/>
    <x v="1"/>
    <x v="1"/>
    <x v="4"/>
  </r>
  <r>
    <x v="31"/>
    <x v="0"/>
    <s v="文青二路８５號十八樓之９"/>
    <n v="753"/>
    <s v="110/04"/>
    <n v="110"/>
    <x v="2"/>
    <n v="13.8"/>
    <x v="9"/>
    <x v="11"/>
    <x v="15"/>
    <x v="29"/>
    <n v="6"/>
    <s v="十八層/二十一層"/>
    <n v="18"/>
    <s v="土 建 車"/>
    <s v="土1 建1車1"/>
    <x v="2"/>
    <x v="2"/>
    <x v="0"/>
  </r>
  <r>
    <x v="32"/>
    <x v="0"/>
    <s v="文青二路８５號十五樓之９"/>
    <n v="1068.8"/>
    <s v="110/06"/>
    <n v="110"/>
    <x v="0"/>
    <n v="19.600000000000001"/>
    <x v="9"/>
    <x v="5"/>
    <x v="12"/>
    <x v="30"/>
    <n v="6"/>
    <s v="十五層/二十一層"/>
    <n v="15"/>
    <s v="土 建 車"/>
    <s v="土1 建1車1"/>
    <x v="2"/>
    <x v="2"/>
    <x v="0"/>
  </r>
  <r>
    <x v="33"/>
    <x v="0"/>
    <s v="文青二路８５號六樓之３"/>
    <n v="900"/>
    <s v="110/04"/>
    <n v="110"/>
    <x v="2"/>
    <n v="19.7"/>
    <x v="0"/>
    <x v="0"/>
    <x v="0"/>
    <x v="31"/>
    <n v="6"/>
    <s v="六層/二十一層"/>
    <n v="6"/>
    <s v="土 建 車"/>
    <s v="土1 建1車1"/>
    <x v="0"/>
    <x v="0"/>
    <x v="0"/>
  </r>
  <r>
    <x v="34"/>
    <x v="1"/>
    <s v="文青路１６３號七樓之３"/>
    <n v="865"/>
    <s v="110/06"/>
    <n v="110"/>
    <x v="0"/>
    <n v="14.1"/>
    <x v="12"/>
    <x v="15"/>
    <x v="19"/>
    <x v="32"/>
    <n v="6"/>
    <s v="七層/二十三層"/>
    <n v="7"/>
    <s v="土 建 車"/>
    <s v="土1 建1車1"/>
    <x v="1"/>
    <x v="1"/>
    <x v="5"/>
  </r>
  <r>
    <x v="35"/>
    <x v="1"/>
    <s v="文青路１６３號二十一樓之８"/>
    <n v="1150"/>
    <s v="110/06"/>
    <n v="110"/>
    <x v="0"/>
    <n v="18.8"/>
    <x v="13"/>
    <x v="16"/>
    <x v="20"/>
    <x v="33"/>
    <n v="6"/>
    <s v="二十一層/二十三層"/>
    <n v="21"/>
    <s v="土 建 車"/>
    <s v="土1 建1車1"/>
    <x v="1"/>
    <x v="1"/>
    <x v="0"/>
  </r>
  <r>
    <x v="36"/>
    <x v="1"/>
    <s v="文青路１６３號二十一樓之９"/>
    <n v="970"/>
    <s v="110/05"/>
    <n v="110"/>
    <x v="1"/>
    <n v="21.4"/>
    <x v="14"/>
    <x v="17"/>
    <x v="21"/>
    <x v="34"/>
    <n v="6"/>
    <s v="二十一層/二十三層"/>
    <n v="21"/>
    <s v="土 建 車"/>
    <s v="土1 建1車1"/>
    <x v="0"/>
    <x v="0"/>
    <x v="0"/>
  </r>
  <r>
    <x v="37"/>
    <x v="1"/>
    <s v="文青路１６３號二十二樓之８"/>
    <n v="600"/>
    <s v="110/05"/>
    <n v="110"/>
    <x v="1"/>
    <n v="8.3000000000000007"/>
    <x v="15"/>
    <x v="16"/>
    <x v="22"/>
    <x v="35"/>
    <n v="6"/>
    <s v="二十二層/二十三層"/>
    <n v="22"/>
    <s v="土 建 車"/>
    <s v="土1 建1車2"/>
    <x v="1"/>
    <x v="1"/>
    <x v="0"/>
  </r>
  <r>
    <x v="38"/>
    <x v="1"/>
    <s v="文青路１６３號十一樓之５"/>
    <n v="1000"/>
    <s v="110/05"/>
    <n v="110"/>
    <x v="1"/>
    <n v="18.600000000000001"/>
    <x v="16"/>
    <x v="18"/>
    <x v="23"/>
    <x v="36"/>
    <n v="6"/>
    <s v="十一層/二十三層"/>
    <n v="11"/>
    <s v="土 建 車"/>
    <s v="土1 建1車1"/>
    <x v="2"/>
    <x v="2"/>
    <x v="0"/>
  </r>
  <r>
    <x v="39"/>
    <x v="1"/>
    <s v="文青路１６５號十一樓之８"/>
    <n v="808.8"/>
    <s v="110/05"/>
    <n v="110"/>
    <x v="1"/>
    <n v="13.7"/>
    <x v="17"/>
    <x v="19"/>
    <x v="24"/>
    <x v="37"/>
    <n v="6"/>
    <s v="十一層/二十層"/>
    <n v="11"/>
    <s v="土 建 車"/>
    <s v="土1 建1車1"/>
    <x v="2"/>
    <x v="2"/>
    <x v="0"/>
  </r>
  <r>
    <x v="40"/>
    <x v="1"/>
    <s v="文青路１６５號十七樓之７"/>
    <n v="1278"/>
    <s v="110/05"/>
    <n v="110"/>
    <x v="1"/>
    <n v="21.7"/>
    <x v="17"/>
    <x v="20"/>
    <x v="25"/>
    <x v="38"/>
    <n v="6"/>
    <s v="十七層/二十層"/>
    <n v="17"/>
    <s v="土 建 車"/>
    <s v="土1 建1車1"/>
    <x v="2"/>
    <x v="2"/>
    <x v="0"/>
  </r>
  <r>
    <x v="41"/>
    <x v="1"/>
    <s v="文青路１６５號十四樓之６"/>
    <n v="885"/>
    <s v="110/06"/>
    <n v="110"/>
    <x v="0"/>
    <n v="14.1"/>
    <x v="18"/>
    <x v="21"/>
    <x v="26"/>
    <x v="39"/>
    <n v="6"/>
    <s v="十四層/二十層"/>
    <n v="14"/>
    <s v="土 建 車"/>
    <s v="土1 建1車3"/>
    <x v="2"/>
    <x v="2"/>
    <x v="6"/>
  </r>
  <r>
    <x v="42"/>
    <x v="1"/>
    <s v="文青路１６７號七樓之６"/>
    <n v="520"/>
    <s v="110/05"/>
    <n v="110"/>
    <x v="1"/>
    <n v="14.7"/>
    <x v="19"/>
    <x v="22"/>
    <x v="27"/>
    <x v="40"/>
    <n v="6"/>
    <s v="七層/二十層"/>
    <n v="7"/>
    <s v="土 建"/>
    <s v="土1 建1車0"/>
    <x v="5"/>
    <x v="0"/>
    <x v="0"/>
  </r>
  <r>
    <x v="43"/>
    <x v="1"/>
    <s v="文青路１６７號十一樓之３"/>
    <n v="1300"/>
    <s v="110/05"/>
    <n v="110"/>
    <x v="1"/>
    <n v="22"/>
    <x v="20"/>
    <x v="23"/>
    <x v="28"/>
    <x v="41"/>
    <n v="6"/>
    <s v="十一層/二十層"/>
    <n v="11"/>
    <s v="土 建 車"/>
    <s v="土1 建1車1"/>
    <x v="2"/>
    <x v="2"/>
    <x v="0"/>
  </r>
  <r>
    <x v="44"/>
    <x v="1"/>
    <s v="文青路１６７號十九樓之８"/>
    <n v="790"/>
    <s v="110/04"/>
    <n v="110"/>
    <x v="2"/>
    <n v="13.4"/>
    <x v="21"/>
    <x v="24"/>
    <x v="29"/>
    <x v="42"/>
    <n v="6"/>
    <s v="十九層/二十層"/>
    <n v="19"/>
    <s v="土 建 車"/>
    <s v="土1 建1車1"/>
    <x v="2"/>
    <x v="2"/>
    <x v="0"/>
  </r>
  <r>
    <x v="45"/>
    <x v="1"/>
    <s v="文青路１６７號十八樓之３"/>
    <n v="970"/>
    <s v="110/05"/>
    <n v="110"/>
    <x v="1"/>
    <n v="12.3"/>
    <x v="22"/>
    <x v="25"/>
    <x v="30"/>
    <x v="43"/>
    <n v="6"/>
    <s v="十八層/二十層"/>
    <n v="18"/>
    <s v="土 建 車"/>
    <s v="土1 建1車3"/>
    <x v="2"/>
    <x v="2"/>
    <x v="0"/>
  </r>
  <r>
    <x v="46"/>
    <x v="1"/>
    <s v="文青路１６７號十四樓之８"/>
    <n v="1350"/>
    <s v="110/05"/>
    <n v="110"/>
    <x v="1"/>
    <n v="22.9"/>
    <x v="21"/>
    <x v="24"/>
    <x v="29"/>
    <x v="44"/>
    <n v="6"/>
    <s v="十四層/二十層"/>
    <n v="14"/>
    <s v="土 建 車"/>
    <s v="土1 建1車1"/>
    <x v="2"/>
    <x v="2"/>
    <x v="0"/>
  </r>
  <r>
    <x v="47"/>
    <x v="1"/>
    <s v="文青路１６７號五樓之６"/>
    <n v="508"/>
    <s v="110/04"/>
    <n v="110"/>
    <x v="2"/>
    <n v="14.4"/>
    <x v="19"/>
    <x v="22"/>
    <x v="27"/>
    <x v="45"/>
    <n v="6"/>
    <s v="五層/二十層"/>
    <n v="5"/>
    <s v="土 建"/>
    <s v="土1 建1車0"/>
    <x v="0"/>
    <x v="0"/>
    <x v="0"/>
  </r>
  <r>
    <x v="48"/>
    <x v="1"/>
    <s v="文青路１６９號五樓之２"/>
    <n v="721"/>
    <s v="110/06"/>
    <n v="110"/>
    <x v="0"/>
    <n v="13.5"/>
    <x v="23"/>
    <x v="26"/>
    <x v="31"/>
    <x v="46"/>
    <n v="6"/>
    <s v="五層/二十三層"/>
    <n v="5"/>
    <s v="土 建 車"/>
    <s v="土1 建1車1"/>
    <x v="7"/>
    <x v="2"/>
    <x v="7"/>
  </r>
  <r>
    <x v="49"/>
    <x v="1"/>
    <s v="文青路１６９號五樓之３"/>
    <n v="900"/>
    <s v="110/06"/>
    <n v="110"/>
    <x v="0"/>
    <n v="12.3"/>
    <x v="24"/>
    <x v="27"/>
    <x v="32"/>
    <x v="47"/>
    <n v="6"/>
    <s v="五層/二十三層"/>
    <n v="5"/>
    <s v="土 建"/>
    <s v="土1 建1車0"/>
    <x v="1"/>
    <x v="1"/>
    <x v="0"/>
  </r>
  <r>
    <x v="50"/>
    <x v="1"/>
    <s v="文青路１７１號九樓之６"/>
    <n v="850"/>
    <s v="110/05"/>
    <n v="110"/>
    <x v="1"/>
    <n v="17.600000000000001"/>
    <x v="25"/>
    <x v="28"/>
    <x v="33"/>
    <x v="48"/>
    <n v="6"/>
    <s v="九層/二十層"/>
    <n v="9"/>
    <s v="土 建 車"/>
    <s v="土1 建1車1"/>
    <x v="2"/>
    <x v="2"/>
    <x v="8"/>
  </r>
  <r>
    <x v="51"/>
    <x v="1"/>
    <s v="文青路１７１號十七樓之９"/>
    <n v="766"/>
    <s v="110/05"/>
    <n v="110"/>
    <x v="1"/>
    <n v="14.1"/>
    <x v="25"/>
    <x v="28"/>
    <x v="33"/>
    <x v="49"/>
    <n v="6"/>
    <s v="十七層/二十層"/>
    <n v="17"/>
    <s v="土 建 車"/>
    <s v="土1 建1車1"/>
    <x v="2"/>
    <x v="2"/>
    <x v="0"/>
  </r>
  <r>
    <x v="52"/>
    <x v="1"/>
    <s v="文青路１７１號十二樓之９"/>
    <n v="1222"/>
    <s v="110/05"/>
    <n v="110"/>
    <x v="1"/>
    <n v="22.4"/>
    <x v="25"/>
    <x v="28"/>
    <x v="33"/>
    <x v="50"/>
    <n v="6"/>
    <s v="十二層/二十層"/>
    <n v="12"/>
    <s v="土 建 車"/>
    <s v="土1 建1車1"/>
    <x v="2"/>
    <x v="2"/>
    <x v="0"/>
  </r>
  <r>
    <x v="53"/>
    <x v="1"/>
    <s v="文青路１７１號十五樓之９"/>
    <n v="852.8"/>
    <s v="110/05"/>
    <n v="110"/>
    <x v="1"/>
    <n v="17.2"/>
    <x v="25"/>
    <x v="28"/>
    <x v="33"/>
    <x v="51"/>
    <n v="6"/>
    <s v="十五層/二十層"/>
    <n v="15"/>
    <s v="土 建 車"/>
    <s v="土1 建1車1"/>
    <x v="7"/>
    <x v="2"/>
    <x v="9"/>
  </r>
  <r>
    <x v="54"/>
    <x v="1"/>
    <s v="文青路１７１號十六樓之１"/>
    <n v="1020"/>
    <s v="110/06"/>
    <n v="110"/>
    <x v="0"/>
    <n v="18.7"/>
    <x v="25"/>
    <x v="28"/>
    <x v="33"/>
    <x v="52"/>
    <n v="6"/>
    <s v="十六層/二十層"/>
    <n v="16"/>
    <s v="土 建 車"/>
    <s v="土1 建1車1"/>
    <x v="2"/>
    <x v="2"/>
    <x v="0"/>
  </r>
  <r>
    <x v="55"/>
    <x v="1"/>
    <s v="文青路１７１號五樓之６"/>
    <n v="900"/>
    <s v="110/05"/>
    <n v="110"/>
    <x v="1"/>
    <n v="13.7"/>
    <x v="26"/>
    <x v="29"/>
    <x v="34"/>
    <x v="53"/>
    <n v="6"/>
    <s v="五層/二十層"/>
    <n v="5"/>
    <s v="土 建 車"/>
    <s v="土1 建1車2"/>
    <x v="2"/>
    <x v="2"/>
    <x v="0"/>
  </r>
  <r>
    <x v="56"/>
    <x v="1"/>
    <s v="文青路１７１號五樓之７"/>
    <n v="838"/>
    <s v="110/05"/>
    <n v="110"/>
    <x v="1"/>
    <n v="14.4"/>
    <x v="27"/>
    <x v="30"/>
    <x v="35"/>
    <x v="54"/>
    <n v="6"/>
    <s v="五層/二十層"/>
    <n v="5"/>
    <s v="土 建 車"/>
    <s v="土1 建1車1"/>
    <x v="2"/>
    <x v="2"/>
    <x v="0"/>
  </r>
  <r>
    <x v="57"/>
    <x v="1"/>
    <s v="文青路１７３號七樓之２"/>
    <n v="950"/>
    <s v="110/06"/>
    <n v="110"/>
    <x v="0"/>
    <n v="14"/>
    <x v="28"/>
    <x v="31"/>
    <x v="36"/>
    <x v="55"/>
    <n v="6"/>
    <s v="七層/二十一層"/>
    <n v="7"/>
    <s v="土 建 車"/>
    <s v="土1 建1車2"/>
    <x v="2"/>
    <x v="2"/>
    <x v="0"/>
  </r>
  <r>
    <x v="58"/>
    <x v="1"/>
    <s v="文青路１７３號二十樓之２"/>
    <n v="900"/>
    <s v="110/05"/>
    <n v="110"/>
    <x v="1"/>
    <n v="15.5"/>
    <x v="29"/>
    <x v="31"/>
    <x v="37"/>
    <x v="56"/>
    <n v="6"/>
    <s v="二十層/二十一層"/>
    <n v="20"/>
    <s v="土 建 車"/>
    <s v="土1 建1車1"/>
    <x v="2"/>
    <x v="2"/>
    <x v="0"/>
  </r>
  <r>
    <x v="59"/>
    <x v="1"/>
    <s v="文青路１７３號十一樓之３"/>
    <n v="1186"/>
    <s v="110/06"/>
    <n v="110"/>
    <x v="0"/>
    <n v="20.5"/>
    <x v="29"/>
    <x v="31"/>
    <x v="37"/>
    <x v="57"/>
    <n v="6"/>
    <s v="十一層/二十一層"/>
    <n v="11"/>
    <s v="土 建 車"/>
    <s v="土1 建1車1"/>
    <x v="2"/>
    <x v="2"/>
    <x v="0"/>
  </r>
  <r>
    <x v="60"/>
    <x v="1"/>
    <s v="文青路１７３號十一樓之９"/>
    <n v="1225"/>
    <s v="110/06"/>
    <n v="110"/>
    <x v="0"/>
    <n v="22.5"/>
    <x v="30"/>
    <x v="32"/>
    <x v="38"/>
    <x v="58"/>
    <n v="6"/>
    <s v="十一層/二十一層"/>
    <n v="11"/>
    <s v="土 建 車"/>
    <s v="土1 建1車1"/>
    <x v="2"/>
    <x v="2"/>
    <x v="0"/>
  </r>
  <r>
    <x v="61"/>
    <x v="1"/>
    <s v="文青路１７５號七樓之９"/>
    <n v="892"/>
    <s v="110/04"/>
    <n v="110"/>
    <x v="2"/>
    <n v="26.4"/>
    <x v="31"/>
    <x v="33"/>
    <x v="39"/>
    <x v="59"/>
    <n v="6"/>
    <s v="七層/二十三層"/>
    <n v="7"/>
    <s v="土 建"/>
    <s v="土1 建1車0"/>
    <x v="5"/>
    <x v="0"/>
    <x v="0"/>
  </r>
  <r>
    <x v="62"/>
    <x v="1"/>
    <s v="文青路１７５號二十一樓之２"/>
    <n v="875"/>
    <s v="110/06"/>
    <n v="110"/>
    <x v="0"/>
    <n v="14.4"/>
    <x v="32"/>
    <x v="34"/>
    <x v="40"/>
    <x v="60"/>
    <n v="6"/>
    <s v="二十一層/二十三層"/>
    <n v="21"/>
    <s v="土 建 車"/>
    <s v="土1 建1車1"/>
    <x v="1"/>
    <x v="1"/>
    <x v="0"/>
  </r>
  <r>
    <x v="63"/>
    <x v="1"/>
    <s v="文青路１７５號二十一樓之３"/>
    <n v="880"/>
    <s v="110/06"/>
    <n v="110"/>
    <x v="0"/>
    <n v="14.5"/>
    <x v="33"/>
    <x v="35"/>
    <x v="41"/>
    <x v="61"/>
    <n v="6"/>
    <s v="二十一層/二十三層"/>
    <n v="21"/>
    <s v="土 建 車"/>
    <s v="土1 建1車1"/>
    <x v="1"/>
    <x v="1"/>
    <x v="0"/>
  </r>
  <r>
    <x v="64"/>
    <x v="1"/>
    <s v="文青路１７５號十九樓之１"/>
    <n v="1050"/>
    <s v="110/05"/>
    <n v="110"/>
    <x v="1"/>
    <n v="23.3"/>
    <x v="34"/>
    <x v="33"/>
    <x v="42"/>
    <x v="62"/>
    <n v="6"/>
    <s v="十九層/二十三層"/>
    <n v="19"/>
    <s v="土 建 車"/>
    <s v="土1 建1車1"/>
    <x v="0"/>
    <x v="0"/>
    <x v="0"/>
  </r>
  <r>
    <x v="65"/>
    <x v="1"/>
    <s v="文青路１７５號十三樓之３"/>
    <n v="900"/>
    <s v="110/05"/>
    <n v="110"/>
    <x v="1"/>
    <n v="14.8"/>
    <x v="32"/>
    <x v="36"/>
    <x v="43"/>
    <x v="63"/>
    <n v="6"/>
    <s v="十三層/二十三層"/>
    <n v="13"/>
    <s v="土 建 車"/>
    <s v="土1 建1車1"/>
    <x v="1"/>
    <x v="1"/>
    <x v="0"/>
  </r>
  <r>
    <x v="66"/>
    <x v="1"/>
    <s v="文青路１７５號十五樓之８"/>
    <n v="985"/>
    <s v="110/05"/>
    <n v="110"/>
    <x v="1"/>
    <n v="13.6"/>
    <x v="35"/>
    <x v="37"/>
    <x v="44"/>
    <x v="64"/>
    <n v="6"/>
    <s v="十五層/二十三層"/>
    <n v="15"/>
    <s v="土 建 車"/>
    <s v="土1 建1車2"/>
    <x v="1"/>
    <x v="1"/>
    <x v="0"/>
  </r>
  <r>
    <x v="67"/>
    <x v="1"/>
    <s v="文青路１７９號二十一樓之９"/>
    <n v="950"/>
    <s v="110/06"/>
    <n v="110"/>
    <x v="0"/>
    <n v="21.8"/>
    <x v="36"/>
    <x v="38"/>
    <x v="45"/>
    <x v="65"/>
    <n v="6"/>
    <s v="二十一層/二十三層"/>
    <n v="21"/>
    <s v="土 建 車"/>
    <s v="土1 建1車1"/>
    <x v="2"/>
    <x v="2"/>
    <x v="0"/>
  </r>
  <r>
    <x v="68"/>
    <x v="1"/>
    <s v="文青路１７９號十三樓之９"/>
    <n v="950"/>
    <s v="110/05"/>
    <n v="110"/>
    <x v="1"/>
    <n v="21.1"/>
    <x v="37"/>
    <x v="39"/>
    <x v="46"/>
    <x v="66"/>
    <n v="6"/>
    <s v="十三層/二十三層"/>
    <n v="13"/>
    <s v="土 建 車"/>
    <s v="土1 建1車1"/>
    <x v="0"/>
    <x v="0"/>
    <x v="0"/>
  </r>
  <r>
    <x v="69"/>
    <x v="1"/>
    <s v="文青路１７９號十樓之１"/>
    <n v="325"/>
    <s v="110/05"/>
    <n v="110"/>
    <x v="1"/>
    <n v="9.6"/>
    <x v="38"/>
    <x v="40"/>
    <x v="47"/>
    <x v="67"/>
    <n v="6"/>
    <s v="十層/二十三層"/>
    <n v="10"/>
    <s v="土 建"/>
    <s v="土1 建1車0"/>
    <x v="5"/>
    <x v="0"/>
    <x v="0"/>
  </r>
  <r>
    <x v="70"/>
    <x v="2"/>
    <s v="文青路２０２號九樓之３"/>
    <n v="613.4"/>
    <s v="110/05"/>
    <n v="110"/>
    <x v="1"/>
    <n v="13.9"/>
    <x v="10"/>
    <x v="41"/>
    <x v="48"/>
    <x v="68"/>
    <n v="6"/>
    <s v="九層/二十一層"/>
    <n v="9"/>
    <s v="土 建 車"/>
    <s v="土1 建1車1"/>
    <x v="6"/>
    <x v="2"/>
    <x v="0"/>
  </r>
  <r>
    <x v="71"/>
    <x v="2"/>
    <s v="文青路２０２號十一樓之８"/>
    <n v="700"/>
    <s v="110/06"/>
    <n v="110"/>
    <x v="0"/>
    <n v="16.600000000000001"/>
    <x v="1"/>
    <x v="1"/>
    <x v="1"/>
    <x v="69"/>
    <n v="6"/>
    <s v="十一層/二十一層"/>
    <n v="11"/>
    <s v="土 建 車"/>
    <s v="土1 建1車1"/>
    <x v="2"/>
    <x v="2"/>
    <x v="0"/>
  </r>
  <r>
    <x v="72"/>
    <x v="2"/>
    <s v="文青路２０２號六樓之６"/>
    <n v="770"/>
    <s v="110/04"/>
    <n v="110"/>
    <x v="2"/>
    <n v="13.5"/>
    <x v="3"/>
    <x v="4"/>
    <x v="4"/>
    <x v="70"/>
    <n v="6"/>
    <s v="六層/二十一層"/>
    <n v="6"/>
    <s v="土 建 車"/>
    <s v="土1 建1車1"/>
    <x v="2"/>
    <x v="2"/>
    <x v="0"/>
  </r>
  <r>
    <x v="73"/>
    <x v="2"/>
    <s v="文青路２０２號六樓之８"/>
    <n v="623"/>
    <s v="110/04"/>
    <n v="110"/>
    <x v="2"/>
    <n v="20"/>
    <x v="39"/>
    <x v="3"/>
    <x v="49"/>
    <x v="71"/>
    <n v="6"/>
    <s v="六層/二十一層"/>
    <n v="6"/>
    <s v="土 建"/>
    <s v="土1 建1車0"/>
    <x v="0"/>
    <x v="0"/>
    <x v="0"/>
  </r>
  <r>
    <x v="74"/>
    <x v="2"/>
    <s v="文青路２２２號十九樓之３"/>
    <n v="800"/>
    <s v="110/04"/>
    <n v="110"/>
    <x v="2"/>
    <n v="17.5"/>
    <x v="0"/>
    <x v="10"/>
    <x v="14"/>
    <x v="72"/>
    <n v="6"/>
    <s v="十九層/十九層"/>
    <n v="19"/>
    <s v="土 建 車"/>
    <s v="土1 建1車1"/>
    <x v="0"/>
    <x v="0"/>
    <x v="0"/>
  </r>
  <r>
    <x v="75"/>
    <x v="2"/>
    <s v="文青路２２２號十九樓之６"/>
    <n v="1200"/>
    <s v="110/05"/>
    <n v="110"/>
    <x v="1"/>
    <n v="23.5"/>
    <x v="40"/>
    <x v="12"/>
    <x v="50"/>
    <x v="73"/>
    <n v="6"/>
    <s v="十九層/十九層"/>
    <n v="19"/>
    <s v="土 建 車"/>
    <s v="土1 建1車1"/>
    <x v="1"/>
    <x v="1"/>
    <x v="10"/>
  </r>
  <r>
    <x v="76"/>
    <x v="2"/>
    <s v="文青路２２２號十九樓之７"/>
    <n v="900"/>
    <s v="110/04"/>
    <n v="110"/>
    <x v="2"/>
    <n v="21.4"/>
    <x v="1"/>
    <x v="3"/>
    <x v="3"/>
    <x v="74"/>
    <n v="6"/>
    <s v="十九層/十九層"/>
    <n v="19"/>
    <s v="土 建 車"/>
    <s v="土1 建1車1"/>
    <x v="0"/>
    <x v="0"/>
    <x v="0"/>
  </r>
  <r>
    <x v="77"/>
    <x v="2"/>
    <s v="文青路２２２號十三樓之２"/>
    <n v="980"/>
    <s v="110/04"/>
    <n v="110"/>
    <x v="2"/>
    <n v="21.5"/>
    <x v="0"/>
    <x v="0"/>
    <x v="0"/>
    <x v="75"/>
    <n v="6"/>
    <s v="十三層/十九層"/>
    <n v="13"/>
    <s v="土 建 車"/>
    <s v="土1 建1車1"/>
    <x v="0"/>
    <x v="0"/>
    <x v="0"/>
  </r>
  <r>
    <x v="78"/>
    <x v="2"/>
    <s v="文青路２４６號十二樓之１"/>
    <n v="1230"/>
    <s v="110/06"/>
    <n v="110"/>
    <x v="0"/>
    <n v="20.5"/>
    <x v="4"/>
    <x v="2"/>
    <x v="5"/>
    <x v="76"/>
    <n v="6"/>
    <s v="十二層/十九層"/>
    <n v="12"/>
    <s v="土 建 車"/>
    <s v="土1 建1車1"/>
    <x v="2"/>
    <x v="2"/>
    <x v="0"/>
  </r>
  <r>
    <x v="79"/>
    <x v="2"/>
    <s v="文青路２４６號十六樓之９"/>
    <n v="760"/>
    <s v="110/04"/>
    <n v="110"/>
    <x v="2"/>
    <n v="13.9"/>
    <x v="9"/>
    <x v="11"/>
    <x v="15"/>
    <x v="77"/>
    <n v="6"/>
    <s v="十六層/十九層"/>
    <n v="16"/>
    <s v="土 建 車"/>
    <s v="土1 建1車1"/>
    <x v="2"/>
    <x v="2"/>
    <x v="3"/>
  </r>
  <r>
    <x v="80"/>
    <x v="2"/>
    <s v="文青路２４６號十樓之３"/>
    <n v="927"/>
    <s v="110/04"/>
    <n v="110"/>
    <x v="2"/>
    <n v="20.3"/>
    <x v="0"/>
    <x v="10"/>
    <x v="14"/>
    <x v="78"/>
    <n v="6"/>
    <s v="十層/十九層"/>
    <n v="10"/>
    <s v="土 建 車"/>
    <s v="土1 建1車1"/>
    <x v="6"/>
    <x v="2"/>
    <x v="0"/>
  </r>
  <r>
    <x v="81"/>
    <x v="2"/>
    <s v="文青路２６８號七樓之２"/>
    <n v="695"/>
    <s v="110/04"/>
    <n v="110"/>
    <x v="2"/>
    <n v="15.2"/>
    <x v="0"/>
    <x v="10"/>
    <x v="14"/>
    <x v="79"/>
    <n v="6"/>
    <s v="七層/十九層"/>
    <n v="7"/>
    <s v="土 建 車"/>
    <s v="土1 建1車1"/>
    <x v="8"/>
    <x v="2"/>
    <x v="0"/>
  </r>
  <r>
    <x v="82"/>
    <x v="2"/>
    <s v="文青路２６８號九樓之６"/>
    <n v="750"/>
    <s v="110/04"/>
    <n v="110"/>
    <x v="2"/>
    <n v="13.5"/>
    <x v="40"/>
    <x v="12"/>
    <x v="50"/>
    <x v="80"/>
    <n v="6"/>
    <s v="九層/十九層"/>
    <n v="9"/>
    <s v="土 建 車"/>
    <s v="土1 建1車1"/>
    <x v="3"/>
    <x v="1"/>
    <x v="0"/>
  </r>
  <r>
    <x v="83"/>
    <x v="2"/>
    <s v="文青路２６８號二樓之２"/>
    <n v="610"/>
    <s v="110/04"/>
    <n v="110"/>
    <x v="2"/>
    <n v="13.8"/>
    <x v="41"/>
    <x v="42"/>
    <x v="51"/>
    <x v="81"/>
    <n v="6"/>
    <s v="二層/十九層"/>
    <n v="2"/>
    <s v="土 建 車"/>
    <s v="土1 建1車1"/>
    <x v="0"/>
    <x v="0"/>
    <x v="0"/>
  </r>
  <r>
    <x v="84"/>
    <x v="2"/>
    <s v="文青路２６８號十一樓之１"/>
    <n v="886"/>
    <s v="110/04"/>
    <n v="110"/>
    <x v="2"/>
    <n v="12.7"/>
    <x v="11"/>
    <x v="2"/>
    <x v="52"/>
    <x v="82"/>
    <n v="6"/>
    <s v="十一層/十九層"/>
    <n v="11"/>
    <s v="土 建 車"/>
    <s v="土1 建1車2"/>
    <x v="1"/>
    <x v="1"/>
    <x v="0"/>
  </r>
  <r>
    <x v="85"/>
    <x v="2"/>
    <s v="文青路２６８號十九樓之９"/>
    <n v="900"/>
    <s v="110/04"/>
    <n v="110"/>
    <x v="2"/>
    <n v="16.899999999999999"/>
    <x v="42"/>
    <x v="5"/>
    <x v="53"/>
    <x v="83"/>
    <n v="6"/>
    <s v="十九層/十九層"/>
    <n v="19"/>
    <s v="土 建 車"/>
    <s v="土1 建1車1"/>
    <x v="2"/>
    <x v="2"/>
    <x v="0"/>
  </r>
  <r>
    <x v="86"/>
    <x v="2"/>
    <s v="文青路２６８號十二樓之８"/>
    <n v="868"/>
    <s v="110/05"/>
    <n v="110"/>
    <x v="1"/>
    <n v="23.1"/>
    <x v="1"/>
    <x v="3"/>
    <x v="3"/>
    <x v="84"/>
    <n v="6"/>
    <s v="十二層/十九層"/>
    <n v="12"/>
    <s v="土 建 車"/>
    <s v="土1 建1車1"/>
    <x v="0"/>
    <x v="0"/>
    <x v="2"/>
  </r>
  <r>
    <x v="87"/>
    <x v="2"/>
    <s v="文青路２６８號十三樓之７"/>
    <n v="740"/>
    <s v="110/04"/>
    <n v="110"/>
    <x v="2"/>
    <n v="17.600000000000001"/>
    <x v="1"/>
    <x v="3"/>
    <x v="3"/>
    <x v="85"/>
    <n v="6"/>
    <s v="十三層/十九層"/>
    <n v="13"/>
    <s v="土 建 車"/>
    <s v="土1 建1車1"/>
    <x v="5"/>
    <x v="0"/>
    <x v="0"/>
  </r>
  <r>
    <x v="88"/>
    <x v="2"/>
    <s v="文青路２９０號十七樓之２"/>
    <n v="758"/>
    <s v="110/06"/>
    <n v="110"/>
    <x v="0"/>
    <n v="17.2"/>
    <x v="10"/>
    <x v="0"/>
    <x v="54"/>
    <x v="86"/>
    <n v="6"/>
    <s v="十七層/二十一層"/>
    <n v="17"/>
    <s v="土 建 車"/>
    <s v="土1 建1車1"/>
    <x v="5"/>
    <x v="0"/>
    <x v="0"/>
  </r>
  <r>
    <x v="89"/>
    <x v="2"/>
    <s v="文青路２９０號十八樓之３"/>
    <n v="930"/>
    <s v="110/04"/>
    <n v="110"/>
    <x v="2"/>
    <n v="21.1"/>
    <x v="10"/>
    <x v="13"/>
    <x v="17"/>
    <x v="87"/>
    <n v="6"/>
    <s v="十八層/二十一層"/>
    <n v="18"/>
    <s v="土 建 車"/>
    <s v="土1 建1車1"/>
    <x v="0"/>
    <x v="0"/>
    <x v="0"/>
  </r>
  <r>
    <x v="90"/>
    <x v="2"/>
    <s v="文青路２９０號十六樓之７"/>
    <n v="750"/>
    <s v="110/05"/>
    <n v="110"/>
    <x v="1"/>
    <n v="24.1"/>
    <x v="39"/>
    <x v="3"/>
    <x v="49"/>
    <x v="88"/>
    <n v="6"/>
    <s v="十六層/二十一層"/>
    <n v="16"/>
    <s v="土 建"/>
    <s v="土1 建1車0"/>
    <x v="5"/>
    <x v="0"/>
    <x v="0"/>
  </r>
  <r>
    <x v="91"/>
    <x v="3"/>
    <s v="文青路３３７號八樓之５"/>
    <n v="1030"/>
    <s v="110/06"/>
    <n v="110"/>
    <x v="0"/>
    <n v="19"/>
    <x v="43"/>
    <x v="43"/>
    <x v="55"/>
    <x v="89"/>
    <n v="6"/>
    <s v="八層/二十三層"/>
    <n v="8"/>
    <s v="土 建 車"/>
    <s v="土1 建1車1"/>
    <x v="1"/>
    <x v="1"/>
    <x v="0"/>
  </r>
  <r>
    <x v="92"/>
    <x v="3"/>
    <s v="文青路３３７號五樓之３"/>
    <n v="1275"/>
    <s v="110/05"/>
    <n v="110"/>
    <x v="1"/>
    <n v="21.6"/>
    <x v="44"/>
    <x v="44"/>
    <x v="56"/>
    <x v="90"/>
    <n v="5"/>
    <s v="五層/二十三層"/>
    <n v="5"/>
    <s v="土 建 車"/>
    <s v="土1 建1車1"/>
    <x v="1"/>
    <x v="1"/>
    <x v="0"/>
  </r>
  <r>
    <x v="93"/>
    <x v="3"/>
    <s v="文青路３３９號十樓之５"/>
    <n v="735"/>
    <s v="110/06"/>
    <n v="110"/>
    <x v="0"/>
    <n v="15.8"/>
    <x v="45"/>
    <x v="45"/>
    <x v="57"/>
    <x v="91"/>
    <n v="6"/>
    <s v="十層/二十二層"/>
    <n v="10"/>
    <s v="土 建 車"/>
    <s v="土1 建1車1"/>
    <x v="2"/>
    <x v="2"/>
    <x v="0"/>
  </r>
  <r>
    <x v="94"/>
    <x v="3"/>
    <s v="文青路３４１號十七樓之５"/>
    <n v="793"/>
    <s v="110/05"/>
    <n v="110"/>
    <x v="1"/>
    <n v="15.3"/>
    <x v="46"/>
    <x v="46"/>
    <x v="58"/>
    <x v="92"/>
    <n v="5"/>
    <s v="十七層/二十二層"/>
    <n v="17"/>
    <s v="土 建 車"/>
    <s v="土1 建1車2"/>
    <x v="2"/>
    <x v="2"/>
    <x v="11"/>
  </r>
  <r>
    <x v="95"/>
    <x v="3"/>
    <s v="文青路３４１號十三樓之５"/>
    <n v="660"/>
    <s v="110/06"/>
    <n v="110"/>
    <x v="0"/>
    <n v="14"/>
    <x v="47"/>
    <x v="47"/>
    <x v="59"/>
    <x v="93"/>
    <n v="6"/>
    <s v="十三層/二十二層"/>
    <n v="13"/>
    <s v="土 建 車"/>
    <s v="土1 建1車1"/>
    <x v="2"/>
    <x v="2"/>
    <x v="0"/>
  </r>
  <r>
    <x v="96"/>
    <x v="3"/>
    <s v="文青路３４１號三樓之５"/>
    <n v="1080"/>
    <s v="110/06"/>
    <n v="110"/>
    <x v="0"/>
    <n v="22"/>
    <x v="48"/>
    <x v="48"/>
    <x v="60"/>
    <x v="94"/>
    <n v="6"/>
    <s v="三層/二十二層"/>
    <n v="3"/>
    <s v="土 建 車"/>
    <s v="土1 建1車1"/>
    <x v="2"/>
    <x v="2"/>
    <x v="0"/>
  </r>
  <r>
    <x v="97"/>
    <x v="3"/>
    <s v="文青路３４８號七樓"/>
    <n v="1152"/>
    <s v="110/01"/>
    <n v="110"/>
    <x v="4"/>
    <n v="25.4"/>
    <x v="49"/>
    <x v="49"/>
    <x v="61"/>
    <x v="95"/>
    <n v="1"/>
    <s v="七層/十三層"/>
    <n v="7"/>
    <s v="土 建 車"/>
    <s v="土1 建1車1"/>
    <x v="2"/>
    <x v="2"/>
    <x v="12"/>
  </r>
  <r>
    <x v="98"/>
    <x v="3"/>
    <s v="文青路３４８號二樓"/>
    <n v="1070"/>
    <s v="110/05"/>
    <n v="110"/>
    <x v="1"/>
    <n v="25.2"/>
    <x v="50"/>
    <x v="50"/>
    <x v="62"/>
    <x v="96"/>
    <n v="1"/>
    <s v="二層/十三層"/>
    <n v="2"/>
    <s v="土 建 車"/>
    <s v="土1 建1車1"/>
    <x v="2"/>
    <x v="2"/>
    <x v="9"/>
  </r>
  <r>
    <x v="99"/>
    <x v="3"/>
    <s v="文青路３４８號十二樓"/>
    <n v="1160"/>
    <s v="110/02"/>
    <n v="110"/>
    <x v="5"/>
    <n v="25.6"/>
    <x v="49"/>
    <x v="49"/>
    <x v="61"/>
    <x v="97"/>
    <n v="1"/>
    <s v="十二層/十三層"/>
    <n v="12"/>
    <s v="土 建 車"/>
    <s v="土1 建1車1"/>
    <x v="2"/>
    <x v="2"/>
    <x v="12"/>
  </r>
  <r>
    <x v="100"/>
    <x v="3"/>
    <s v="文青路３４８號十樓"/>
    <n v="1195"/>
    <s v="110/04"/>
    <n v="110"/>
    <x v="2"/>
    <n v="26.5"/>
    <x v="49"/>
    <x v="49"/>
    <x v="61"/>
    <x v="98"/>
    <n v="1"/>
    <s v="十層/十三層"/>
    <n v="10"/>
    <s v="土 建 車"/>
    <s v="土1 建1車1"/>
    <x v="2"/>
    <x v="2"/>
    <x v="12"/>
  </r>
  <r>
    <x v="101"/>
    <x v="3"/>
    <s v="文青路３４９號十五樓之５"/>
    <n v="1100"/>
    <s v="110/06"/>
    <n v="110"/>
    <x v="0"/>
    <n v="18.7"/>
    <x v="51"/>
    <x v="51"/>
    <x v="63"/>
    <x v="99"/>
    <n v="6"/>
    <s v="十五層/二十二層"/>
    <n v="15"/>
    <s v="土 建 車"/>
    <s v="土1 建1車1"/>
    <x v="1"/>
    <x v="1"/>
    <x v="0"/>
  </r>
  <r>
    <x v="102"/>
    <x v="3"/>
    <s v="文青路３５０號二樓"/>
    <n v="1038"/>
    <s v="110/03"/>
    <n v="110"/>
    <x v="3"/>
    <n v="24.8"/>
    <x v="52"/>
    <x v="52"/>
    <x v="64"/>
    <x v="100"/>
    <n v="1"/>
    <s v="二層/十三層"/>
    <n v="2"/>
    <s v="土 建 車"/>
    <s v="土1 建1車1"/>
    <x v="2"/>
    <x v="2"/>
    <x v="13"/>
  </r>
  <r>
    <x v="103"/>
    <x v="3"/>
    <s v="文青路３５０號八樓"/>
    <n v="1145"/>
    <s v="110/02"/>
    <n v="110"/>
    <x v="5"/>
    <n v="25.7"/>
    <x v="53"/>
    <x v="53"/>
    <x v="65"/>
    <x v="101"/>
    <n v="1"/>
    <s v="八層/十三層"/>
    <n v="8"/>
    <s v="土 建 車"/>
    <s v="土1 建1車1"/>
    <x v="2"/>
    <x v="2"/>
    <x v="2"/>
  </r>
  <r>
    <x v="104"/>
    <x v="3"/>
    <s v="文青路３５０號十樓"/>
    <n v="1160"/>
    <s v="110/04"/>
    <n v="110"/>
    <x v="2"/>
    <n v="25.8"/>
    <x v="53"/>
    <x v="53"/>
    <x v="65"/>
    <x v="102"/>
    <n v="1"/>
    <s v="十層/十三層"/>
    <n v="10"/>
    <s v="土 建 車"/>
    <s v="土1 建1車1"/>
    <x v="2"/>
    <x v="2"/>
    <x v="12"/>
  </r>
  <r>
    <x v="105"/>
    <x v="3"/>
    <s v="文青路３５０號三樓"/>
    <n v="1200"/>
    <s v="110/04"/>
    <n v="110"/>
    <x v="2"/>
    <n v="28.2"/>
    <x v="54"/>
    <x v="53"/>
    <x v="66"/>
    <x v="103"/>
    <n v="1"/>
    <s v="三層/十三層"/>
    <n v="3"/>
    <s v="土 建 車"/>
    <s v="土1 建1車1"/>
    <x v="2"/>
    <x v="2"/>
    <x v="9"/>
  </r>
  <r>
    <x v="106"/>
    <x v="3"/>
    <s v="文青路３５１號九樓之２"/>
    <n v="980"/>
    <s v="110/05"/>
    <n v="110"/>
    <x v="1"/>
    <n v="21.9"/>
    <x v="8"/>
    <x v="54"/>
    <x v="67"/>
    <x v="104"/>
    <n v="6"/>
    <s v="九層/二十二層"/>
    <n v="9"/>
    <s v="土 建"/>
    <s v="土1 建1車0"/>
    <x v="1"/>
    <x v="1"/>
    <x v="0"/>
  </r>
  <r>
    <x v="107"/>
    <x v="3"/>
    <s v="文青路３５１號十八樓之３"/>
    <n v="656"/>
    <s v="110/06"/>
    <n v="110"/>
    <x v="0"/>
    <n v="14"/>
    <x v="55"/>
    <x v="55"/>
    <x v="68"/>
    <x v="105"/>
    <n v="6"/>
    <s v="十八層/二十二層"/>
    <n v="18"/>
    <s v="土 建 車"/>
    <s v="土1 建1車1"/>
    <x v="2"/>
    <x v="2"/>
    <x v="0"/>
  </r>
  <r>
    <x v="108"/>
    <x v="3"/>
    <s v="文青路３５２號八樓"/>
    <n v="1230"/>
    <s v="110/02"/>
    <n v="110"/>
    <x v="5"/>
    <n v="25.9"/>
    <x v="56"/>
    <x v="56"/>
    <x v="69"/>
    <x v="106"/>
    <n v="1"/>
    <s v="八層/十三層"/>
    <n v="8"/>
    <s v="土 建 車"/>
    <s v="土1 建1車1"/>
    <x v="1"/>
    <x v="1"/>
    <x v="2"/>
  </r>
  <r>
    <x v="109"/>
    <x v="3"/>
    <s v="文青路３５２號十一樓"/>
    <n v="1370"/>
    <s v="110/01"/>
    <n v="110"/>
    <x v="4"/>
    <n v="29"/>
    <x v="56"/>
    <x v="56"/>
    <x v="69"/>
    <x v="107"/>
    <n v="1"/>
    <s v="十一層/十三層"/>
    <n v="11"/>
    <s v="土 建 車"/>
    <s v="土1 建1車1"/>
    <x v="1"/>
    <x v="1"/>
    <x v="12"/>
  </r>
  <r>
    <x v="110"/>
    <x v="3"/>
    <s v="文青路３５２號十三樓"/>
    <n v="1228"/>
    <s v="110/04"/>
    <n v="110"/>
    <x v="2"/>
    <n v="25.6"/>
    <x v="56"/>
    <x v="56"/>
    <x v="69"/>
    <x v="108"/>
    <n v="1"/>
    <s v="十三層/十三層"/>
    <n v="13"/>
    <s v="土 建 車"/>
    <s v="土1 建1車1"/>
    <x v="1"/>
    <x v="1"/>
    <x v="12"/>
  </r>
  <r>
    <x v="111"/>
    <x v="3"/>
    <s v="文青路３５５號六樓之５"/>
    <n v="960"/>
    <s v="110/05"/>
    <n v="110"/>
    <x v="1"/>
    <n v="13.8"/>
    <x v="57"/>
    <x v="57"/>
    <x v="70"/>
    <x v="109"/>
    <n v="5"/>
    <s v="六層/二十四層"/>
    <n v="6"/>
    <s v="土 建 車"/>
    <s v="土1 建1車2"/>
    <x v="1"/>
    <x v="1"/>
    <x v="0"/>
  </r>
  <r>
    <x v="112"/>
    <x v="3"/>
    <s v="文青路３６０號九樓"/>
    <n v="1145"/>
    <s v="110/04"/>
    <n v="110"/>
    <x v="2"/>
    <n v="26.5"/>
    <x v="58"/>
    <x v="58"/>
    <x v="71"/>
    <x v="110"/>
    <n v="1"/>
    <s v="九層/十三層"/>
    <n v="9"/>
    <s v="土 建 車"/>
    <s v="土1 建1車1"/>
    <x v="2"/>
    <x v="2"/>
    <x v="9"/>
  </r>
  <r>
    <x v="113"/>
    <x v="3"/>
    <s v="文青路３６０號十二樓"/>
    <n v="1165"/>
    <s v="110/01"/>
    <n v="110"/>
    <x v="4"/>
    <n v="25.9"/>
    <x v="59"/>
    <x v="58"/>
    <x v="72"/>
    <x v="111"/>
    <n v="1"/>
    <s v="十二層/十三層"/>
    <n v="12"/>
    <s v="土 建 車"/>
    <s v="土1 建1車1"/>
    <x v="2"/>
    <x v="2"/>
    <x v="2"/>
  </r>
  <r>
    <x v="114"/>
    <x v="3"/>
    <s v="文青路３６０號三樓"/>
    <n v="1090"/>
    <s v="110/04"/>
    <n v="110"/>
    <x v="2"/>
    <n v="25.2"/>
    <x v="58"/>
    <x v="58"/>
    <x v="71"/>
    <x v="112"/>
    <n v="1"/>
    <s v="三層/十三層"/>
    <n v="3"/>
    <s v="土 建 車"/>
    <s v="土1 建1車1"/>
    <x v="2"/>
    <x v="2"/>
    <x v="13"/>
  </r>
  <r>
    <x v="115"/>
    <x v="3"/>
    <s v="文青路３６０號六樓"/>
    <n v="1200"/>
    <s v="110/05"/>
    <n v="110"/>
    <x v="1"/>
    <n v="26.5"/>
    <x v="59"/>
    <x v="58"/>
    <x v="72"/>
    <x v="113"/>
    <n v="1"/>
    <s v="六層/十三層"/>
    <n v="6"/>
    <s v="土 建 車"/>
    <s v="土1 建1車1"/>
    <x v="2"/>
    <x v="2"/>
    <x v="14"/>
  </r>
  <r>
    <x v="116"/>
    <x v="3"/>
    <s v="文青路３６２號九樓"/>
    <n v="1050"/>
    <s v="110/02"/>
    <n v="110"/>
    <x v="5"/>
    <n v="26.1"/>
    <x v="60"/>
    <x v="59"/>
    <x v="73"/>
    <x v="114"/>
    <n v="1"/>
    <s v="九層/十三層"/>
    <n v="9"/>
    <s v="土 建 車"/>
    <s v="土1 建1車1"/>
    <x v="2"/>
    <x v="2"/>
    <x v="8"/>
  </r>
  <r>
    <x v="117"/>
    <x v="3"/>
    <s v="文青路３６２號二樓"/>
    <n v="1060"/>
    <s v="110/05"/>
    <n v="110"/>
    <x v="1"/>
    <n v="25.9"/>
    <x v="61"/>
    <x v="59"/>
    <x v="74"/>
    <x v="115"/>
    <n v="1"/>
    <s v="二層/十三層"/>
    <n v="2"/>
    <s v="土 建 車"/>
    <s v="土1 建1車1"/>
    <x v="2"/>
    <x v="2"/>
    <x v="9"/>
  </r>
  <r>
    <x v="118"/>
    <x v="3"/>
    <s v="文青路３６２號十一樓"/>
    <n v="1228"/>
    <s v="110/05"/>
    <n v="110"/>
    <x v="1"/>
    <n v="30.4"/>
    <x v="61"/>
    <x v="59"/>
    <x v="74"/>
    <x v="116"/>
    <n v="1"/>
    <s v="十一層/十三層"/>
    <n v="11"/>
    <s v="土 建 車"/>
    <s v="土1 建1車1"/>
    <x v="2"/>
    <x v="2"/>
    <x v="9"/>
  </r>
  <r>
    <x v="119"/>
    <x v="3"/>
    <s v="文青路３６２號十三樓"/>
    <n v="1068"/>
    <s v="110/05"/>
    <n v="110"/>
    <x v="1"/>
    <n v="26.5"/>
    <x v="60"/>
    <x v="59"/>
    <x v="73"/>
    <x v="117"/>
    <n v="1"/>
    <s v="十三層/十三層"/>
    <n v="13"/>
    <s v="土 建 車"/>
    <s v="土1 建1車1"/>
    <x v="2"/>
    <x v="2"/>
    <x v="15"/>
  </r>
  <r>
    <x v="120"/>
    <x v="3"/>
    <s v="文青路３６２號十樓"/>
    <n v="1066"/>
    <s v="110/01"/>
    <n v="110"/>
    <x v="4"/>
    <n v="26.6"/>
    <x v="60"/>
    <x v="59"/>
    <x v="73"/>
    <x v="118"/>
    <n v="1"/>
    <s v="十層/十三層"/>
    <n v="10"/>
    <s v="土 建 車"/>
    <s v="土1 建1車1"/>
    <x v="2"/>
    <x v="2"/>
    <x v="8"/>
  </r>
  <r>
    <x v="121"/>
    <x v="3"/>
    <s v="文青路３６２號五樓"/>
    <n v="1030"/>
    <s v="110/03"/>
    <n v="110"/>
    <x v="3"/>
    <n v="25.6"/>
    <x v="60"/>
    <x v="59"/>
    <x v="73"/>
    <x v="119"/>
    <n v="1"/>
    <s v="五層/十三層"/>
    <n v="5"/>
    <s v="土 建 車"/>
    <s v="土1 建1車1"/>
    <x v="2"/>
    <x v="2"/>
    <x v="8"/>
  </r>
  <r>
    <x v="122"/>
    <x v="3"/>
    <s v="文青路３６６號八樓"/>
    <n v="1232"/>
    <s v="110/04"/>
    <n v="110"/>
    <x v="2"/>
    <n v="26.8"/>
    <x v="62"/>
    <x v="60"/>
    <x v="75"/>
    <x v="120"/>
    <n v="1"/>
    <s v="八層/十三層"/>
    <n v="8"/>
    <s v="土 建 車"/>
    <s v="土1 建1車1"/>
    <x v="2"/>
    <x v="2"/>
    <x v="2"/>
  </r>
  <r>
    <x v="123"/>
    <x v="3"/>
    <s v="文青路３６６號十樓"/>
    <n v="1250"/>
    <s v="110/04"/>
    <n v="110"/>
    <x v="2"/>
    <n v="27"/>
    <x v="62"/>
    <x v="60"/>
    <x v="75"/>
    <x v="121"/>
    <n v="1"/>
    <s v="十層/十三層"/>
    <n v="10"/>
    <s v="土 建 車"/>
    <s v="土1 建1車1"/>
    <x v="2"/>
    <x v="2"/>
    <x v="12"/>
  </r>
  <r>
    <x v="124"/>
    <x v="3"/>
    <s v="文青路３７２號十一樓"/>
    <n v="1188"/>
    <s v="110/05"/>
    <n v="110"/>
    <x v="1"/>
    <n v="26.4"/>
    <x v="53"/>
    <x v="53"/>
    <x v="65"/>
    <x v="122"/>
    <n v="1"/>
    <s v="十一層/十三層"/>
    <n v="11"/>
    <s v="土 建 車"/>
    <s v="土1 建1車1"/>
    <x v="2"/>
    <x v="2"/>
    <x v="14"/>
  </r>
  <r>
    <x v="125"/>
    <x v="3"/>
    <s v="文青路３７２號十三樓"/>
    <n v="1185"/>
    <s v="110/05"/>
    <n v="110"/>
    <x v="1"/>
    <n v="26.4"/>
    <x v="63"/>
    <x v="61"/>
    <x v="76"/>
    <x v="123"/>
    <n v="1"/>
    <s v="十三層/十三層"/>
    <n v="13"/>
    <s v="土 建 車"/>
    <s v="土1 建1車1"/>
    <x v="2"/>
    <x v="2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10835-72CE-6F4E-85F9-427760C87138}" name="樞紐分析表8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25:G30" firstHeaderRow="1" firstDataRow="2" firstDataCol="1"/>
  <pivotFields count="20"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numFmtId="176" showAll="0"/>
    <pivotField showAll="0"/>
    <pivotField showAll="0"/>
    <pivotField axis="axisRow" showAll="0">
      <items count="7">
        <item h="1" x="4"/>
        <item h="1" x="5"/>
        <item h="1" x="3"/>
        <item x="2"/>
        <item x="1"/>
        <item x="0"/>
        <item t="default"/>
      </items>
    </pivotField>
    <pivotField dataField="1"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平均值 - 每坪單價(萬元/坪)" fld="7" subtotal="average" baseField="0" baseItem="0" numFmtId="17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5C3CB-271E-E749-B8D9-7B3E8C8D93EB}" name="樞紐分析表7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62:G67" firstHeaderRow="1" firstDataRow="2" firstDataCol="1" rowPageCount="1" colPageCount="1"/>
  <pivotFields count="20"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dataField="1" numFmtId="176" showAll="0"/>
    <pivotField showAll="0"/>
    <pivotField showAll="0"/>
    <pivotField axis="axisPage" multipleItemSelectionAllowed="1" showAll="0">
      <items count="7">
        <item h="1" x="4"/>
        <item h="1" x="5"/>
        <item h="1" x="3"/>
        <item x="2"/>
        <item x="1"/>
        <item x="0"/>
        <item t="default"/>
      </items>
    </pivotField>
    <pivotField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平均值 - 總價（萬元）" fld="3" subtotal="average" baseField="0" baseItem="0" numFmtId="176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7BA68-E89E-F648-B028-A23A1D0D7B52}" name="樞紐分析表6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4:D9" firstHeaderRow="0" firstDataRow="1" firstDataCol="1" rowPageCount="1" colPageCount="1"/>
  <pivotFields count="20">
    <pivotField dataField="1"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6" showAll="0"/>
    <pivotField showAll="0"/>
    <pivotField showAll="0"/>
    <pivotField axis="axisPage" multipleItemSelectionAllowed="1" showAll="0">
      <items count="7">
        <item h="1" x="4"/>
        <item h="1" x="5"/>
        <item h="1" x="3"/>
        <item x="2"/>
        <item x="1"/>
        <item x="0"/>
        <item t="default"/>
      </items>
    </pivotField>
    <pivotField dataField="1"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平均值 - 每坪單價(萬元/坪)" fld="7" subtotal="average" baseField="0" baseItem="0" numFmtId="178"/>
    <dataField name="計數 - NO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E72D4-8A84-8D4C-AE26-F22388036928}" name="樞紐分析表10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112:F118" firstHeaderRow="1" firstDataRow="2" firstDataCol="1" rowPageCount="1" colPageCount="1"/>
  <pivotFields count="20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76" showAll="0"/>
    <pivotField showAll="0"/>
    <pivotField showAll="0"/>
    <pivotField axis="axisPage" multipleItemSelectionAllowed="1" showAll="0">
      <items count="7">
        <item h="1" x="4"/>
        <item h="1" x="5"/>
        <item h="1" x="3"/>
        <item x="2"/>
        <item x="1"/>
        <item x="0"/>
        <item t="default"/>
      </items>
    </pivotField>
    <pivotField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計數 - NO" fld="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D83E5-4820-DF44-A585-31A298A33CA2}" name="樞紐分析表9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87:C92" firstHeaderRow="1" firstDataRow="1" firstDataCol="1" rowPageCount="1" colPageCount="1"/>
  <pivotFields count="20"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6" showAll="0"/>
    <pivotField showAll="0"/>
    <pivotField showAll="0"/>
    <pivotField axis="axisPage" multipleItemSelectionAllowed="1" showAll="0">
      <items count="7">
        <item h="1" x="4"/>
        <item h="1" x="5"/>
        <item h="1" x="3"/>
        <item x="2"/>
        <item x="1"/>
        <item x="0"/>
        <item t="default"/>
      </items>
    </pivotField>
    <pivotField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3"/>
    </i>
    <i>
      <x v="1"/>
    </i>
    <i>
      <x v="2"/>
    </i>
    <i>
      <x/>
    </i>
    <i t="grand">
      <x/>
    </i>
  </rowItems>
  <colItems count="1">
    <i/>
  </colItems>
  <pageFields count="1">
    <pageField fld="6" hier="-1"/>
  </pageFields>
  <dataFields count="1">
    <dataField name="平均值 - 車位總價" fld="19" subtotal="average" baseField="0" baseItem="0" numFmtId="17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DEF39-9F0E-2949-8443-F3E2200F6F9B}" name="樞紐分析表15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B173:C183" firstHeaderRow="1" firstDataRow="1" firstDataCol="1"/>
  <pivotFields count="20">
    <pivotField dataField="1" showAll="0">
      <items count="127">
        <item x="107"/>
        <item x="57"/>
        <item x="63"/>
        <item x="34"/>
        <item x="59"/>
        <item x="101"/>
        <item x="62"/>
        <item x="93"/>
        <item x="60"/>
        <item x="67"/>
        <item x="96"/>
        <item x="71"/>
        <item x="49"/>
        <item x="95"/>
        <item x="35"/>
        <item x="48"/>
        <item x="41"/>
        <item x="78"/>
        <item x="54"/>
        <item x="91"/>
        <item x="88"/>
        <item x="98"/>
        <item x="53"/>
        <item x="58"/>
        <item x="45"/>
        <item x="55"/>
        <item x="124"/>
        <item x="66"/>
        <item x="118"/>
        <item x="111"/>
        <item x="86"/>
        <item x="64"/>
        <item x="46"/>
        <item x="119"/>
        <item x="94"/>
        <item x="65"/>
        <item x="37"/>
        <item x="56"/>
        <item x="39"/>
        <item x="36"/>
        <item x="52"/>
        <item x="68"/>
        <item x="92"/>
        <item x="43"/>
        <item x="40"/>
        <item x="38"/>
        <item x="69"/>
        <item x="42"/>
        <item x="90"/>
        <item x="75"/>
        <item x="125"/>
        <item x="115"/>
        <item x="51"/>
        <item x="106"/>
        <item x="70"/>
        <item x="117"/>
        <item x="50"/>
        <item x="79"/>
        <item x="122"/>
        <item x="77"/>
        <item x="83"/>
        <item x="104"/>
        <item x="123"/>
        <item x="110"/>
        <item x="112"/>
        <item x="84"/>
        <item x="76"/>
        <item x="105"/>
        <item x="44"/>
        <item x="81"/>
        <item x="61"/>
        <item x="100"/>
        <item x="47"/>
        <item x="85"/>
        <item x="89"/>
        <item x="80"/>
        <item x="72"/>
        <item x="73"/>
        <item x="82"/>
        <item x="74"/>
        <item x="87"/>
        <item x="114"/>
        <item x="102"/>
        <item x="121"/>
        <item x="103"/>
        <item x="116"/>
        <item x="108"/>
        <item x="99"/>
        <item x="109"/>
        <item x="113"/>
        <item x="97"/>
        <item x="120"/>
        <item x="0"/>
        <item x="32"/>
        <item x="25"/>
        <item x="29"/>
        <item x="16"/>
        <item x="5"/>
        <item x="26"/>
        <item x="15"/>
        <item x="1"/>
        <item x="21"/>
        <item x="20"/>
        <item x="24"/>
        <item x="2"/>
        <item x="4"/>
        <item x="11"/>
        <item x="27"/>
        <item x="22"/>
        <item x="30"/>
        <item x="3"/>
        <item x="7"/>
        <item x="12"/>
        <item x="31"/>
        <item x="13"/>
        <item x="17"/>
        <item x="23"/>
        <item x="14"/>
        <item x="9"/>
        <item x="8"/>
        <item x="10"/>
        <item x="18"/>
        <item x="19"/>
        <item x="33"/>
        <item x="6"/>
        <item x="28"/>
        <item t="default"/>
      </items>
    </pivotField>
    <pivotField showAll="0"/>
    <pivotField showAll="0"/>
    <pivotField numFmtId="176" showAll="0"/>
    <pivotField showAll="0"/>
    <pivotField showAll="0"/>
    <pivotField showAll="0"/>
    <pivotField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4"/>
        <item x="8"/>
        <item x="7"/>
        <item x="6"/>
        <item x="2"/>
        <item x="3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計數 -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04B48-A409-1043-9EED-89A3D95ADE2E}" name="樞紐分析表14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146:E150" firstHeaderRow="0" firstDataRow="1" firstDataCol="1"/>
  <pivotFields count="20">
    <pivotField showAll="0"/>
    <pivotField showAll="0"/>
    <pivotField showAll="0"/>
    <pivotField numFmtId="176" showAll="0"/>
    <pivotField showAll="0"/>
    <pivotField showAll="0"/>
    <pivotField showAll="0"/>
    <pivotField numFmtId="178" showAll="0"/>
    <pivotField dataField="1" numFmtId="179" showAll="0">
      <items count="65">
        <item x="39"/>
        <item x="38"/>
        <item x="31"/>
        <item x="19"/>
        <item x="61"/>
        <item x="52"/>
        <item x="50"/>
        <item x="7"/>
        <item x="60"/>
        <item x="54"/>
        <item x="58"/>
        <item x="1"/>
        <item x="36"/>
        <item x="41"/>
        <item x="10"/>
        <item x="8"/>
        <item x="37"/>
        <item x="34"/>
        <item x="14"/>
        <item x="0"/>
        <item x="45"/>
        <item x="55"/>
        <item x="47"/>
        <item x="48"/>
        <item x="63"/>
        <item x="53"/>
        <item x="49"/>
        <item x="59"/>
        <item x="62"/>
        <item x="56"/>
        <item x="42"/>
        <item x="16"/>
        <item x="43"/>
        <item x="30"/>
        <item x="25"/>
        <item x="9"/>
        <item x="40"/>
        <item x="46"/>
        <item x="3"/>
        <item x="23"/>
        <item x="29"/>
        <item x="27"/>
        <item x="2"/>
        <item x="51"/>
        <item x="17"/>
        <item x="44"/>
        <item x="21"/>
        <item x="20"/>
        <item x="4"/>
        <item x="33"/>
        <item x="32"/>
        <item x="12"/>
        <item x="13"/>
        <item x="6"/>
        <item x="26"/>
        <item x="28"/>
        <item x="57"/>
        <item x="11"/>
        <item x="5"/>
        <item x="15"/>
        <item x="35"/>
        <item x="24"/>
        <item x="18"/>
        <item x="22"/>
        <item t="default"/>
      </items>
    </pivotField>
    <pivotField dataField="1" numFmtId="179" showAll="0">
      <items count="63">
        <item x="25"/>
        <item x="29"/>
        <item x="6"/>
        <item x="14"/>
        <item x="27"/>
        <item x="1"/>
        <item x="10"/>
        <item x="8"/>
        <item x="13"/>
        <item x="11"/>
        <item x="23"/>
        <item x="19"/>
        <item x="4"/>
        <item x="18"/>
        <item x="55"/>
        <item x="30"/>
        <item x="7"/>
        <item x="15"/>
        <item x="34"/>
        <item x="35"/>
        <item x="49"/>
        <item x="53"/>
        <item x="61"/>
        <item x="9"/>
        <item x="58"/>
        <item x="56"/>
        <item x="50"/>
        <item x="52"/>
        <item x="48"/>
        <item x="60"/>
        <item x="59"/>
        <item x="22"/>
        <item x="21"/>
        <item x="5"/>
        <item x="24"/>
        <item x="20"/>
        <item x="3"/>
        <item x="12"/>
        <item x="2"/>
        <item x="0"/>
        <item x="41"/>
        <item x="28"/>
        <item x="32"/>
        <item x="31"/>
        <item x="17"/>
        <item x="45"/>
        <item x="46"/>
        <item x="47"/>
        <item x="38"/>
        <item x="33"/>
        <item x="26"/>
        <item x="39"/>
        <item x="40"/>
        <item x="16"/>
        <item x="51"/>
        <item x="37"/>
        <item x="36"/>
        <item x="42"/>
        <item x="54"/>
        <item x="57"/>
        <item x="44"/>
        <item x="43"/>
        <item t="default"/>
      </items>
    </pivotField>
    <pivotField dataField="1" numFmtId="179" showAll="0">
      <items count="78">
        <item x="10"/>
        <item x="49"/>
        <item x="1"/>
        <item x="27"/>
        <item x="17"/>
        <item x="14"/>
        <item x="39"/>
        <item x="47"/>
        <item x="74"/>
        <item x="66"/>
        <item x="68"/>
        <item x="64"/>
        <item x="62"/>
        <item x="71"/>
        <item x="73"/>
        <item x="13"/>
        <item x="11"/>
        <item x="3"/>
        <item x="15"/>
        <item x="23"/>
        <item x="34"/>
        <item x="54"/>
        <item x="48"/>
        <item x="45"/>
        <item x="76"/>
        <item x="65"/>
        <item x="0"/>
        <item x="61"/>
        <item x="4"/>
        <item x="72"/>
        <item x="21"/>
        <item x="51"/>
        <item x="42"/>
        <item x="46"/>
        <item x="60"/>
        <item x="67"/>
        <item x="28"/>
        <item x="30"/>
        <item x="24"/>
        <item x="35"/>
        <item x="57"/>
        <item x="59"/>
        <item x="69"/>
        <item x="75"/>
        <item x="18"/>
        <item x="9"/>
        <item x="8"/>
        <item x="40"/>
        <item x="32"/>
        <item x="19"/>
        <item x="41"/>
        <item x="53"/>
        <item x="12"/>
        <item x="33"/>
        <item x="38"/>
        <item x="50"/>
        <item x="16"/>
        <item x="58"/>
        <item x="55"/>
        <item x="2"/>
        <item x="29"/>
        <item x="31"/>
        <item x="25"/>
        <item x="37"/>
        <item x="5"/>
        <item x="63"/>
        <item x="7"/>
        <item x="56"/>
        <item x="20"/>
        <item x="43"/>
        <item x="36"/>
        <item x="52"/>
        <item x="6"/>
        <item x="70"/>
        <item x="22"/>
        <item x="44"/>
        <item x="26"/>
        <item t="default"/>
      </items>
    </pivotField>
    <pivotField numFmtId="179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 - 總面積(坪)" fld="8" subtotal="average" baseField="0" baseItem="0" numFmtId="178"/>
    <dataField name="平均值 - 主建物佔比（%)" fld="9" subtotal="average" baseField="0" baseItem="0" numFmtId="177"/>
    <dataField name="平均值 - 房屋坪數" fld="10" subtotal="average" baseField="0" baseItem="0" numFmtId="178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D8068-AE79-F341-8039-CFA15ED811CF}" name="樞紐分析表13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76:C92" firstHeaderRow="1" firstDataRow="1" firstDataCol="1"/>
  <pivotFields count="20">
    <pivotField showAll="0"/>
    <pivotField showAll="0"/>
    <pivotField showAll="0"/>
    <pivotField numFmtId="176" showAll="0"/>
    <pivotField showAll="0"/>
    <pivotField showAll="0"/>
    <pivotField showAll="0"/>
    <pivotField numFmtId="178" showAll="0"/>
    <pivotField numFmtId="179" showAll="0"/>
    <pivotField numFmtId="179" showAll="0"/>
    <pivotField numFmtId="179" showAll="0"/>
    <pivotField numFmtId="179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7">
        <item x="7"/>
        <item x="3"/>
        <item x="8"/>
        <item x="15"/>
        <item x="1"/>
        <item x="5"/>
        <item x="13"/>
        <item x="9"/>
        <item x="10"/>
        <item x="2"/>
        <item x="12"/>
        <item x="14"/>
        <item x="4"/>
        <item x="11"/>
        <item x="6"/>
        <item h="1" x="0"/>
        <item t="default"/>
      </items>
    </pivotField>
  </pivotFields>
  <rowFields count="1">
    <field x="1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計數 - 車位總價" fld="1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37539-45E0-6542-AC9A-E48CE5B40408}" name="樞紐分析表12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43:F49" firstHeaderRow="1" firstDataRow="2" firstDataCol="1" rowPageCount="1" colPageCount="1"/>
  <pivotFields count="20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76" showAll="0"/>
    <pivotField showAll="0"/>
    <pivotField showAll="0"/>
    <pivotField axis="axisPage" multipleItemSelectionAllowed="1" showAll="0">
      <items count="7">
        <item h="1" x="4"/>
        <item h="1" x="5"/>
        <item h="1" x="3"/>
        <item x="2"/>
        <item x="1"/>
        <item x="0"/>
        <item t="default"/>
      </items>
    </pivotField>
    <pivotField numFmtId="178" showAll="0"/>
    <pivotField numFmtId="179" showAll="0"/>
    <pivotField numFmtId="179" showAll="0"/>
    <pivotField dataField="1" numFmtId="179" showAll="0">
      <items count="78">
        <item x="10"/>
        <item x="49"/>
        <item x="1"/>
        <item x="27"/>
        <item x="17"/>
        <item x="14"/>
        <item x="39"/>
        <item x="47"/>
        <item x="74"/>
        <item x="66"/>
        <item x="68"/>
        <item x="64"/>
        <item x="62"/>
        <item x="71"/>
        <item x="73"/>
        <item x="13"/>
        <item x="11"/>
        <item x="3"/>
        <item x="15"/>
        <item x="23"/>
        <item x="34"/>
        <item x="54"/>
        <item x="48"/>
        <item x="45"/>
        <item x="76"/>
        <item x="65"/>
        <item x="0"/>
        <item x="61"/>
        <item x="4"/>
        <item x="72"/>
        <item x="21"/>
        <item x="51"/>
        <item x="42"/>
        <item x="46"/>
        <item x="60"/>
        <item x="67"/>
        <item x="28"/>
        <item x="30"/>
        <item x="24"/>
        <item x="35"/>
        <item x="57"/>
        <item x="59"/>
        <item x="69"/>
        <item x="75"/>
        <item x="18"/>
        <item x="9"/>
        <item x="8"/>
        <item x="40"/>
        <item x="32"/>
        <item x="19"/>
        <item x="41"/>
        <item x="53"/>
        <item x="12"/>
        <item x="33"/>
        <item x="38"/>
        <item x="50"/>
        <item x="16"/>
        <item x="58"/>
        <item x="55"/>
        <item x="2"/>
        <item x="29"/>
        <item x="31"/>
        <item x="25"/>
        <item x="37"/>
        <item x="5"/>
        <item x="63"/>
        <item x="7"/>
        <item x="56"/>
        <item x="20"/>
        <item x="43"/>
        <item x="36"/>
        <item x="52"/>
        <item x="6"/>
        <item x="70"/>
        <item x="22"/>
        <item x="44"/>
        <item x="26"/>
        <item t="default"/>
      </items>
    </pivotField>
    <pivotField numFmtId="179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平均值 - 房屋坪數" fld="10" subtotal="average" baseField="0" baseItem="0" numFmtId="17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A58C4-A384-004C-9C9E-D9CB1AB9E403}" name="樞紐分析表11" cacheId="7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4:D9" firstHeaderRow="0" firstDataRow="1" firstDataCol="1" rowPageCount="1" colPageCount="1"/>
  <pivotFields count="20">
    <pivotField dataField="1" showAll="0">
      <items count="127">
        <item x="107"/>
        <item x="57"/>
        <item x="63"/>
        <item x="34"/>
        <item x="59"/>
        <item x="101"/>
        <item x="62"/>
        <item x="93"/>
        <item x="60"/>
        <item x="67"/>
        <item x="96"/>
        <item x="71"/>
        <item x="49"/>
        <item x="95"/>
        <item x="35"/>
        <item x="48"/>
        <item x="41"/>
        <item x="78"/>
        <item x="54"/>
        <item x="91"/>
        <item x="88"/>
        <item x="98"/>
        <item x="53"/>
        <item x="58"/>
        <item x="45"/>
        <item x="55"/>
        <item x="124"/>
        <item x="66"/>
        <item x="118"/>
        <item x="111"/>
        <item x="86"/>
        <item x="64"/>
        <item x="46"/>
        <item x="119"/>
        <item x="94"/>
        <item x="65"/>
        <item x="37"/>
        <item x="56"/>
        <item x="39"/>
        <item x="36"/>
        <item x="52"/>
        <item x="68"/>
        <item x="92"/>
        <item x="43"/>
        <item x="40"/>
        <item x="38"/>
        <item x="69"/>
        <item x="42"/>
        <item x="90"/>
        <item x="75"/>
        <item x="125"/>
        <item x="115"/>
        <item x="51"/>
        <item x="106"/>
        <item x="70"/>
        <item x="117"/>
        <item x="50"/>
        <item x="79"/>
        <item x="122"/>
        <item x="77"/>
        <item x="83"/>
        <item x="104"/>
        <item x="123"/>
        <item x="110"/>
        <item x="112"/>
        <item x="84"/>
        <item x="76"/>
        <item x="105"/>
        <item x="44"/>
        <item x="81"/>
        <item x="61"/>
        <item x="100"/>
        <item x="47"/>
        <item x="85"/>
        <item x="89"/>
        <item x="80"/>
        <item x="72"/>
        <item x="73"/>
        <item x="82"/>
        <item x="74"/>
        <item x="87"/>
        <item x="114"/>
        <item x="102"/>
        <item x="121"/>
        <item x="103"/>
        <item x="116"/>
        <item x="108"/>
        <item x="99"/>
        <item x="109"/>
        <item x="113"/>
        <item x="97"/>
        <item x="120"/>
        <item x="0"/>
        <item x="32"/>
        <item x="25"/>
        <item x="29"/>
        <item x="16"/>
        <item x="5"/>
        <item x="26"/>
        <item x="15"/>
        <item x="1"/>
        <item x="21"/>
        <item x="20"/>
        <item x="24"/>
        <item x="2"/>
        <item x="4"/>
        <item x="11"/>
        <item x="27"/>
        <item x="22"/>
        <item x="30"/>
        <item x="3"/>
        <item x="7"/>
        <item x="12"/>
        <item x="31"/>
        <item x="13"/>
        <item x="17"/>
        <item x="23"/>
        <item x="14"/>
        <item x="9"/>
        <item x="8"/>
        <item x="10"/>
        <item x="18"/>
        <item x="19"/>
        <item x="33"/>
        <item x="6"/>
        <item x="28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6" showAll="0"/>
    <pivotField showAll="0"/>
    <pivotField showAll="0"/>
    <pivotField axis="axisPage" multipleItemSelectionAllowed="1" showAll="0">
      <items count="7">
        <item h="1" x="4"/>
        <item h="1" x="5"/>
        <item h="1" x="3"/>
        <item x="2"/>
        <item x="1"/>
        <item x="0"/>
        <item t="default"/>
      </items>
    </pivotField>
    <pivotField numFmtId="178" showAll="0"/>
    <pivotField numFmtId="179" showAll="0"/>
    <pivotField numFmtId="179" showAll="0"/>
    <pivotField numFmtId="179" showAll="0"/>
    <pivotField dataField="1" numFmtId="179" showAll="0">
      <items count="125">
        <item x="35"/>
        <item x="67"/>
        <item x="39"/>
        <item x="46"/>
        <item x="82"/>
        <item x="26"/>
        <item x="64"/>
        <item x="109"/>
        <item x="81"/>
        <item x="24"/>
        <item x="10"/>
        <item x="42"/>
        <item x="80"/>
        <item x="14"/>
        <item x="93"/>
        <item x="0"/>
        <item x="55"/>
        <item x="68"/>
        <item x="92"/>
        <item x="49"/>
        <item x="7"/>
        <item x="63"/>
        <item x="45"/>
        <item x="40"/>
        <item x="56"/>
        <item x="2"/>
        <item x="48"/>
        <item x="91"/>
        <item x="51"/>
        <item x="19"/>
        <item x="18"/>
        <item x="13"/>
        <item x="70"/>
        <item x="32"/>
        <item x="23"/>
        <item x="6"/>
        <item x="60"/>
        <item x="61"/>
        <item x="83"/>
        <item x="37"/>
        <item x="22"/>
        <item x="86"/>
        <item x="105"/>
        <item x="29"/>
        <item x="47"/>
        <item x="77"/>
        <item x="85"/>
        <item x="54"/>
        <item x="15"/>
        <item x="89"/>
        <item x="8"/>
        <item x="9"/>
        <item x="99"/>
        <item x="33"/>
        <item x="11"/>
        <item x="12"/>
        <item x="28"/>
        <item x="52"/>
        <item x="3"/>
        <item x="31"/>
        <item x="30"/>
        <item x="79"/>
        <item x="71"/>
        <item x="17"/>
        <item x="57"/>
        <item x="5"/>
        <item x="21"/>
        <item x="90"/>
        <item x="66"/>
        <item x="76"/>
        <item x="43"/>
        <item x="84"/>
        <item x="53"/>
        <item x="104"/>
        <item x="34"/>
        <item x="4"/>
        <item x="65"/>
        <item x="25"/>
        <item x="74"/>
        <item x="75"/>
        <item x="73"/>
        <item x="38"/>
        <item x="50"/>
        <item x="58"/>
        <item x="69"/>
        <item x="62"/>
        <item x="36"/>
        <item x="44"/>
        <item x="72"/>
        <item x="94"/>
        <item x="88"/>
        <item x="27"/>
        <item x="95"/>
        <item x="101"/>
        <item x="120"/>
        <item x="108"/>
        <item x="111"/>
        <item x="106"/>
        <item x="97"/>
        <item x="16"/>
        <item x="102"/>
        <item x="121"/>
        <item x="59"/>
        <item x="113"/>
        <item x="98"/>
        <item x="123"/>
        <item x="122"/>
        <item x="119"/>
        <item x="78"/>
        <item x="114"/>
        <item x="87"/>
        <item x="118"/>
        <item x="117"/>
        <item x="100"/>
        <item x="41"/>
        <item x="96"/>
        <item x="115"/>
        <item x="107"/>
        <item x="112"/>
        <item x="20"/>
        <item x="1"/>
        <item x="110"/>
        <item x="103"/>
        <item x="1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平均值 - 每坪單價B" fld="11" subtotal="average" baseField="0" baseItem="0" numFmtId="178"/>
    <dataField name="計數 - NO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CB66-A4E7-AF46-82E5-5E17642C7DFD}">
  <dimension ref="B2:P132"/>
  <sheetViews>
    <sheetView workbookViewId="0">
      <selection activeCell="M4" sqref="M4:M5"/>
    </sheetView>
  </sheetViews>
  <sheetFormatPr baseColWidth="10" defaultRowHeight="19"/>
  <cols>
    <col min="1" max="1" width="10.83203125" style="9"/>
    <col min="2" max="2" width="24.6640625" style="9" customWidth="1"/>
    <col min="3" max="16384" width="10.83203125" style="9"/>
  </cols>
  <sheetData>
    <row r="2" spans="2:16">
      <c r="B2" s="9" t="s">
        <v>387</v>
      </c>
      <c r="C2" s="9" t="s">
        <v>388</v>
      </c>
      <c r="F2" s="9" t="s">
        <v>389</v>
      </c>
    </row>
    <row r="4" spans="2:16">
      <c r="B4" s="17" t="s">
        <v>0</v>
      </c>
      <c r="C4" s="17" t="s">
        <v>1</v>
      </c>
      <c r="D4" s="17" t="s">
        <v>2</v>
      </c>
      <c r="E4" s="11" t="s">
        <v>3</v>
      </c>
      <c r="F4" s="11" t="s">
        <v>5</v>
      </c>
      <c r="G4" s="11" t="s">
        <v>7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  <c r="M4" s="17" t="s">
        <v>14</v>
      </c>
      <c r="N4" s="11" t="s">
        <v>15</v>
      </c>
      <c r="O4" s="17" t="s">
        <v>17</v>
      </c>
      <c r="P4" s="17" t="s">
        <v>18</v>
      </c>
    </row>
    <row r="5" spans="2:16">
      <c r="B5" s="17"/>
      <c r="C5" s="17"/>
      <c r="D5" s="17"/>
      <c r="E5" s="11" t="s">
        <v>4</v>
      </c>
      <c r="F5" s="11" t="s">
        <v>6</v>
      </c>
      <c r="G5" s="11" t="s">
        <v>8</v>
      </c>
      <c r="H5" s="17"/>
      <c r="I5" s="17"/>
      <c r="J5" s="17"/>
      <c r="K5" s="17"/>
      <c r="L5" s="17"/>
      <c r="M5" s="17"/>
      <c r="N5" s="11" t="s">
        <v>16</v>
      </c>
      <c r="O5" s="17"/>
      <c r="P5" s="17"/>
    </row>
    <row r="6" spans="2:16">
      <c r="B6" s="10" t="s">
        <v>90</v>
      </c>
      <c r="C6" s="12">
        <v>656</v>
      </c>
      <c r="D6" s="12" t="s">
        <v>20</v>
      </c>
      <c r="E6" s="12">
        <v>14</v>
      </c>
      <c r="F6" s="12">
        <v>46.75</v>
      </c>
      <c r="G6" s="12">
        <v>51.15</v>
      </c>
      <c r="H6" s="13"/>
      <c r="I6" s="12">
        <v>6</v>
      </c>
      <c r="J6" s="12" t="s">
        <v>91</v>
      </c>
      <c r="K6" s="14" t="s">
        <v>381</v>
      </c>
      <c r="L6" s="13" t="s">
        <v>382</v>
      </c>
      <c r="M6" s="12" t="s">
        <v>26</v>
      </c>
      <c r="N6" s="12"/>
      <c r="O6" s="12" t="s">
        <v>23</v>
      </c>
      <c r="P6" s="12" t="s">
        <v>23</v>
      </c>
    </row>
    <row r="7" spans="2:16">
      <c r="B7" s="10" t="s">
        <v>92</v>
      </c>
      <c r="C7" s="12">
        <v>950</v>
      </c>
      <c r="D7" s="12" t="s">
        <v>20</v>
      </c>
      <c r="E7" s="12">
        <v>14</v>
      </c>
      <c r="F7" s="12">
        <v>67.72</v>
      </c>
      <c r="G7" s="12">
        <v>64.33</v>
      </c>
      <c r="H7" s="13"/>
      <c r="I7" s="12">
        <v>6</v>
      </c>
      <c r="J7" s="12" t="s">
        <v>93</v>
      </c>
      <c r="K7" s="14" t="s">
        <v>381</v>
      </c>
      <c r="L7" s="13" t="s">
        <v>383</v>
      </c>
      <c r="M7" s="12" t="s">
        <v>26</v>
      </c>
      <c r="N7" s="12"/>
      <c r="O7" s="12" t="s">
        <v>23</v>
      </c>
      <c r="P7" s="12" t="s">
        <v>23</v>
      </c>
    </row>
    <row r="8" spans="2:16">
      <c r="B8" s="10" t="s">
        <v>94</v>
      </c>
      <c r="C8" s="12">
        <v>880</v>
      </c>
      <c r="D8" s="12" t="s">
        <v>20</v>
      </c>
      <c r="E8" s="12">
        <v>14.5</v>
      </c>
      <c r="F8" s="12">
        <v>60.75</v>
      </c>
      <c r="G8" s="12">
        <v>53.75</v>
      </c>
      <c r="H8" s="13"/>
      <c r="I8" s="12">
        <v>6</v>
      </c>
      <c r="J8" s="12" t="s">
        <v>95</v>
      </c>
      <c r="K8" s="14" t="s">
        <v>381</v>
      </c>
      <c r="L8" s="13" t="s">
        <v>382</v>
      </c>
      <c r="M8" s="12" t="s">
        <v>32</v>
      </c>
      <c r="N8" s="12"/>
      <c r="O8" s="12" t="s">
        <v>23</v>
      </c>
      <c r="P8" s="12" t="s">
        <v>23</v>
      </c>
    </row>
    <row r="9" spans="2:16">
      <c r="B9" s="10" t="s">
        <v>96</v>
      </c>
      <c r="C9" s="12">
        <v>865</v>
      </c>
      <c r="D9" s="12" t="s">
        <v>20</v>
      </c>
      <c r="E9" s="12">
        <v>14.1</v>
      </c>
      <c r="F9" s="12">
        <v>61.18</v>
      </c>
      <c r="G9" s="12">
        <v>53.29</v>
      </c>
      <c r="H9" s="13"/>
      <c r="I9" s="12">
        <v>6</v>
      </c>
      <c r="J9" s="12" t="s">
        <v>97</v>
      </c>
      <c r="K9" s="14" t="s">
        <v>381</v>
      </c>
      <c r="L9" s="13" t="s">
        <v>382</v>
      </c>
      <c r="M9" s="12" t="s">
        <v>32</v>
      </c>
      <c r="N9" s="12">
        <v>103</v>
      </c>
      <c r="O9" s="12" t="s">
        <v>23</v>
      </c>
      <c r="P9" s="12" t="s">
        <v>23</v>
      </c>
    </row>
    <row r="10" spans="2:16">
      <c r="B10" s="10" t="s">
        <v>98</v>
      </c>
      <c r="C10" s="15">
        <v>1186</v>
      </c>
      <c r="D10" s="12" t="s">
        <v>20</v>
      </c>
      <c r="E10" s="12">
        <v>20.5</v>
      </c>
      <c r="F10" s="12">
        <v>57.91</v>
      </c>
      <c r="G10" s="12">
        <v>64.33</v>
      </c>
      <c r="H10" s="13"/>
      <c r="I10" s="12">
        <v>6</v>
      </c>
      <c r="J10" s="12" t="s">
        <v>21</v>
      </c>
      <c r="K10" s="14" t="s">
        <v>381</v>
      </c>
      <c r="L10" s="13" t="s">
        <v>382</v>
      </c>
      <c r="M10" s="12" t="s">
        <v>26</v>
      </c>
      <c r="N10" s="12"/>
      <c r="O10" s="12" t="s">
        <v>23</v>
      </c>
      <c r="P10" s="12" t="s">
        <v>23</v>
      </c>
    </row>
    <row r="11" spans="2:16">
      <c r="B11" s="10" t="s">
        <v>99</v>
      </c>
      <c r="C11" s="15">
        <v>1100</v>
      </c>
      <c r="D11" s="12" t="s">
        <v>20</v>
      </c>
      <c r="E11" s="12">
        <v>18.7</v>
      </c>
      <c r="F11" s="12">
        <v>58.76</v>
      </c>
      <c r="G11" s="12">
        <v>65.38</v>
      </c>
      <c r="H11" s="13"/>
      <c r="I11" s="12">
        <v>6</v>
      </c>
      <c r="J11" s="12" t="s">
        <v>100</v>
      </c>
      <c r="K11" s="14" t="s">
        <v>381</v>
      </c>
      <c r="L11" s="13" t="s">
        <v>382</v>
      </c>
      <c r="M11" s="12" t="s">
        <v>32</v>
      </c>
      <c r="N11" s="12"/>
      <c r="O11" s="12" t="s">
        <v>23</v>
      </c>
      <c r="P11" s="12" t="s">
        <v>23</v>
      </c>
    </row>
    <row r="12" spans="2:16">
      <c r="B12" s="10" t="s">
        <v>101</v>
      </c>
      <c r="C12" s="12">
        <v>875</v>
      </c>
      <c r="D12" s="12" t="s">
        <v>20</v>
      </c>
      <c r="E12" s="12">
        <v>14.4</v>
      </c>
      <c r="F12" s="12">
        <v>60.84</v>
      </c>
      <c r="G12" s="12">
        <v>53.51</v>
      </c>
      <c r="H12" s="13"/>
      <c r="I12" s="12">
        <v>6</v>
      </c>
      <c r="J12" s="12" t="s">
        <v>95</v>
      </c>
      <c r="K12" s="14" t="s">
        <v>381</v>
      </c>
      <c r="L12" s="13" t="s">
        <v>382</v>
      </c>
      <c r="M12" s="12" t="s">
        <v>32</v>
      </c>
      <c r="N12" s="12"/>
      <c r="O12" s="12" t="s">
        <v>23</v>
      </c>
      <c r="P12" s="12" t="s">
        <v>23</v>
      </c>
    </row>
    <row r="13" spans="2:16">
      <c r="B13" s="10" t="s">
        <v>102</v>
      </c>
      <c r="C13" s="12">
        <v>735</v>
      </c>
      <c r="D13" s="12" t="s">
        <v>20</v>
      </c>
      <c r="E13" s="12">
        <v>15.8</v>
      </c>
      <c r="F13" s="12">
        <v>46.42</v>
      </c>
      <c r="G13" s="12">
        <v>64.61</v>
      </c>
      <c r="H13" s="13"/>
      <c r="I13" s="12">
        <v>6</v>
      </c>
      <c r="J13" s="12" t="s">
        <v>103</v>
      </c>
      <c r="K13" s="14" t="s">
        <v>381</v>
      </c>
      <c r="L13" s="13" t="s">
        <v>382</v>
      </c>
      <c r="M13" s="12" t="s">
        <v>26</v>
      </c>
      <c r="N13" s="12"/>
      <c r="O13" s="12" t="s">
        <v>23</v>
      </c>
      <c r="P13" s="12" t="s">
        <v>23</v>
      </c>
    </row>
    <row r="14" spans="2:16">
      <c r="B14" s="10" t="s">
        <v>104</v>
      </c>
      <c r="C14" s="15">
        <v>1225</v>
      </c>
      <c r="D14" s="12" t="s">
        <v>20</v>
      </c>
      <c r="E14" s="12">
        <v>22.5</v>
      </c>
      <c r="F14" s="12">
        <v>54.34</v>
      </c>
      <c r="G14" s="12">
        <v>63.93</v>
      </c>
      <c r="H14" s="13"/>
      <c r="I14" s="12">
        <v>6</v>
      </c>
      <c r="J14" s="12" t="s">
        <v>21</v>
      </c>
      <c r="K14" s="14" t="s">
        <v>381</v>
      </c>
      <c r="L14" s="13" t="s">
        <v>382</v>
      </c>
      <c r="M14" s="12" t="s">
        <v>26</v>
      </c>
      <c r="N14" s="12"/>
      <c r="O14" s="12" t="s">
        <v>23</v>
      </c>
      <c r="P14" s="12" t="s">
        <v>23</v>
      </c>
    </row>
    <row r="15" spans="2:16">
      <c r="B15" s="10" t="s">
        <v>105</v>
      </c>
      <c r="C15" s="12">
        <v>950</v>
      </c>
      <c r="D15" s="12" t="s">
        <v>20</v>
      </c>
      <c r="E15" s="12">
        <v>21.8</v>
      </c>
      <c r="F15" s="12">
        <v>43.51</v>
      </c>
      <c r="G15" s="12">
        <v>64.89</v>
      </c>
      <c r="H15" s="13"/>
      <c r="I15" s="12">
        <v>6</v>
      </c>
      <c r="J15" s="12" t="s">
        <v>95</v>
      </c>
      <c r="K15" s="14" t="s">
        <v>381</v>
      </c>
      <c r="L15" s="13" t="s">
        <v>382</v>
      </c>
      <c r="M15" s="12" t="s">
        <v>26</v>
      </c>
      <c r="N15" s="12"/>
      <c r="O15" s="12" t="s">
        <v>23</v>
      </c>
      <c r="P15" s="12" t="s">
        <v>23</v>
      </c>
    </row>
    <row r="16" spans="2:16">
      <c r="B16" s="10" t="s">
        <v>106</v>
      </c>
      <c r="C16" s="15">
        <v>1080</v>
      </c>
      <c r="D16" s="12" t="s">
        <v>20</v>
      </c>
      <c r="E16" s="12">
        <v>22</v>
      </c>
      <c r="F16" s="12">
        <v>49.14</v>
      </c>
      <c r="G16" s="12">
        <v>60.19</v>
      </c>
      <c r="H16" s="13"/>
      <c r="I16" s="12">
        <v>6</v>
      </c>
      <c r="J16" s="12" t="s">
        <v>107</v>
      </c>
      <c r="K16" s="14" t="s">
        <v>381</v>
      </c>
      <c r="L16" s="13" t="s">
        <v>382</v>
      </c>
      <c r="M16" s="12" t="s">
        <v>26</v>
      </c>
      <c r="N16" s="12"/>
      <c r="O16" s="12" t="s">
        <v>23</v>
      </c>
      <c r="P16" s="12" t="s">
        <v>23</v>
      </c>
    </row>
    <row r="17" spans="2:16">
      <c r="B17" s="10" t="s">
        <v>108</v>
      </c>
      <c r="C17" s="12">
        <v>700</v>
      </c>
      <c r="D17" s="12" t="s">
        <v>20</v>
      </c>
      <c r="E17" s="12">
        <v>16.600000000000001</v>
      </c>
      <c r="F17" s="12">
        <v>42.15</v>
      </c>
      <c r="G17" s="12">
        <v>46.62</v>
      </c>
      <c r="H17" s="13"/>
      <c r="I17" s="12">
        <v>6</v>
      </c>
      <c r="J17" s="12" t="s">
        <v>21</v>
      </c>
      <c r="K17" s="14" t="s">
        <v>381</v>
      </c>
      <c r="L17" s="13" t="s">
        <v>382</v>
      </c>
      <c r="M17" s="12" t="s">
        <v>26</v>
      </c>
      <c r="N17" s="12"/>
      <c r="O17" s="12" t="s">
        <v>23</v>
      </c>
      <c r="P17" s="12" t="s">
        <v>23</v>
      </c>
    </row>
    <row r="18" spans="2:16">
      <c r="B18" s="10" t="s">
        <v>109</v>
      </c>
      <c r="C18" s="12">
        <v>900</v>
      </c>
      <c r="D18" s="12" t="s">
        <v>20</v>
      </c>
      <c r="E18" s="12">
        <v>12.3</v>
      </c>
      <c r="F18" s="12">
        <v>72.930000000000007</v>
      </c>
      <c r="G18" s="12">
        <v>44.7</v>
      </c>
      <c r="H18" s="13"/>
      <c r="I18" s="12">
        <v>6</v>
      </c>
      <c r="J18" s="12" t="s">
        <v>110</v>
      </c>
      <c r="K18" s="14" t="s">
        <v>384</v>
      </c>
      <c r="L18" s="13" t="s">
        <v>385</v>
      </c>
      <c r="M18" s="12" t="s">
        <v>32</v>
      </c>
      <c r="N18" s="12"/>
      <c r="O18" s="12" t="s">
        <v>23</v>
      </c>
      <c r="P18" s="12" t="s">
        <v>23</v>
      </c>
    </row>
    <row r="19" spans="2:16">
      <c r="B19" s="10" t="s">
        <v>111</v>
      </c>
      <c r="C19" s="12">
        <v>660</v>
      </c>
      <c r="D19" s="12" t="s">
        <v>20</v>
      </c>
      <c r="E19" s="12">
        <v>14</v>
      </c>
      <c r="F19" s="12">
        <v>47.21</v>
      </c>
      <c r="G19" s="12">
        <v>64.64</v>
      </c>
      <c r="H19" s="13"/>
      <c r="I19" s="12">
        <v>6</v>
      </c>
      <c r="J19" s="12" t="s">
        <v>112</v>
      </c>
      <c r="K19" s="14" t="s">
        <v>381</v>
      </c>
      <c r="L19" s="13" t="s">
        <v>382</v>
      </c>
      <c r="M19" s="12" t="s">
        <v>26</v>
      </c>
      <c r="N19" s="12"/>
      <c r="O19" s="12" t="s">
        <v>23</v>
      </c>
      <c r="P19" s="12" t="s">
        <v>23</v>
      </c>
    </row>
    <row r="20" spans="2:16">
      <c r="B20" s="10" t="s">
        <v>113</v>
      </c>
      <c r="C20" s="15">
        <v>1150</v>
      </c>
      <c r="D20" s="12" t="s">
        <v>20</v>
      </c>
      <c r="E20" s="12">
        <v>18.8</v>
      </c>
      <c r="F20" s="12">
        <v>61.19</v>
      </c>
      <c r="G20" s="12">
        <v>65.290000000000006</v>
      </c>
      <c r="H20" s="13"/>
      <c r="I20" s="12">
        <v>6</v>
      </c>
      <c r="J20" s="12" t="s">
        <v>95</v>
      </c>
      <c r="K20" s="14" t="s">
        <v>381</v>
      </c>
      <c r="L20" s="13" t="s">
        <v>382</v>
      </c>
      <c r="M20" s="12" t="s">
        <v>32</v>
      </c>
      <c r="N20" s="12"/>
      <c r="O20" s="12" t="s">
        <v>23</v>
      </c>
      <c r="P20" s="12" t="s">
        <v>23</v>
      </c>
    </row>
    <row r="21" spans="2:16">
      <c r="B21" s="10" t="s">
        <v>114</v>
      </c>
      <c r="C21" s="12">
        <v>721</v>
      </c>
      <c r="D21" s="12" t="s">
        <v>20</v>
      </c>
      <c r="E21" s="12">
        <v>13.5</v>
      </c>
      <c r="F21" s="12">
        <v>57.03</v>
      </c>
      <c r="G21" s="12">
        <v>65.02</v>
      </c>
      <c r="H21" s="13"/>
      <c r="I21" s="12">
        <v>6</v>
      </c>
      <c r="J21" s="12" t="s">
        <v>110</v>
      </c>
      <c r="K21" s="14" t="s">
        <v>381</v>
      </c>
      <c r="L21" s="13" t="s">
        <v>382</v>
      </c>
      <c r="M21" s="12" t="s">
        <v>115</v>
      </c>
      <c r="N21" s="12">
        <v>85</v>
      </c>
      <c r="O21" s="12" t="s">
        <v>23</v>
      </c>
      <c r="P21" s="12" t="s">
        <v>23</v>
      </c>
    </row>
    <row r="22" spans="2:16">
      <c r="B22" s="10" t="s">
        <v>116</v>
      </c>
      <c r="C22" s="12">
        <v>885</v>
      </c>
      <c r="D22" s="12" t="s">
        <v>20</v>
      </c>
      <c r="E22" s="12">
        <v>14.1</v>
      </c>
      <c r="F22" s="12">
        <v>76.36</v>
      </c>
      <c r="G22" s="12">
        <v>62.71</v>
      </c>
      <c r="H22" s="13"/>
      <c r="I22" s="12">
        <v>6</v>
      </c>
      <c r="J22" s="12" t="s">
        <v>117</v>
      </c>
      <c r="K22" s="14" t="s">
        <v>381</v>
      </c>
      <c r="L22" s="13" t="s">
        <v>386</v>
      </c>
      <c r="M22" s="12" t="s">
        <v>26</v>
      </c>
      <c r="N22" s="12">
        <v>265</v>
      </c>
      <c r="O22" s="12" t="s">
        <v>23</v>
      </c>
      <c r="P22" s="12" t="s">
        <v>23</v>
      </c>
    </row>
    <row r="23" spans="2:16">
      <c r="B23" s="10" t="s">
        <v>118</v>
      </c>
      <c r="C23" s="15">
        <v>1230</v>
      </c>
      <c r="D23" s="12" t="s">
        <v>20</v>
      </c>
      <c r="E23" s="12">
        <v>20.5</v>
      </c>
      <c r="F23" s="12">
        <v>59.98</v>
      </c>
      <c r="G23" s="12">
        <v>63.21</v>
      </c>
      <c r="H23" s="13"/>
      <c r="I23" s="12">
        <v>6</v>
      </c>
      <c r="J23" s="12" t="s">
        <v>119</v>
      </c>
      <c r="K23" s="14" t="s">
        <v>381</v>
      </c>
      <c r="L23" s="13" t="s">
        <v>382</v>
      </c>
      <c r="M23" s="12" t="s">
        <v>26</v>
      </c>
      <c r="N23" s="12"/>
      <c r="O23" s="12" t="s">
        <v>23</v>
      </c>
      <c r="P23" s="12" t="s">
        <v>23</v>
      </c>
    </row>
    <row r="24" spans="2:16">
      <c r="B24" s="10" t="s">
        <v>120</v>
      </c>
      <c r="C24" s="15">
        <v>1020</v>
      </c>
      <c r="D24" s="12" t="s">
        <v>20</v>
      </c>
      <c r="E24" s="12">
        <v>18.7</v>
      </c>
      <c r="F24" s="12">
        <v>54.47</v>
      </c>
      <c r="G24" s="12">
        <v>63.74</v>
      </c>
      <c r="H24" s="13"/>
      <c r="I24" s="12">
        <v>6</v>
      </c>
      <c r="J24" s="12" t="s">
        <v>121</v>
      </c>
      <c r="K24" s="14" t="s">
        <v>381</v>
      </c>
      <c r="L24" s="13" t="s">
        <v>382</v>
      </c>
      <c r="M24" s="12" t="s">
        <v>26</v>
      </c>
      <c r="N24" s="12"/>
      <c r="O24" s="12" t="s">
        <v>23</v>
      </c>
      <c r="P24" s="12" t="s">
        <v>23</v>
      </c>
    </row>
    <row r="25" spans="2:16">
      <c r="B25" s="10" t="s">
        <v>122</v>
      </c>
      <c r="C25" s="15">
        <v>1030</v>
      </c>
      <c r="D25" s="12" t="s">
        <v>20</v>
      </c>
      <c r="E25" s="12">
        <v>19</v>
      </c>
      <c r="F25" s="12">
        <v>54.25</v>
      </c>
      <c r="G25" s="12">
        <v>67.489999999999995</v>
      </c>
      <c r="H25" s="13"/>
      <c r="I25" s="12">
        <v>6</v>
      </c>
      <c r="J25" s="12" t="s">
        <v>123</v>
      </c>
      <c r="K25" s="14" t="s">
        <v>381</v>
      </c>
      <c r="L25" s="13" t="s">
        <v>382</v>
      </c>
      <c r="M25" s="12" t="s">
        <v>32</v>
      </c>
      <c r="N25" s="12"/>
      <c r="O25" s="12" t="s">
        <v>23</v>
      </c>
      <c r="P25" s="12" t="s">
        <v>23</v>
      </c>
    </row>
    <row r="26" spans="2:16">
      <c r="B26" s="10" t="s">
        <v>124</v>
      </c>
      <c r="C26" s="12">
        <v>758</v>
      </c>
      <c r="D26" s="12" t="s">
        <v>20</v>
      </c>
      <c r="E26" s="12">
        <v>17.2</v>
      </c>
      <c r="F26" s="12">
        <v>44.14</v>
      </c>
      <c r="G26" s="12">
        <v>63.36</v>
      </c>
      <c r="H26" s="13"/>
      <c r="I26" s="12">
        <v>6</v>
      </c>
      <c r="J26" s="12" t="s">
        <v>42</v>
      </c>
      <c r="K26" s="14" t="s">
        <v>381</v>
      </c>
      <c r="L26" s="13" t="s">
        <v>382</v>
      </c>
      <c r="M26" s="12" t="s">
        <v>45</v>
      </c>
      <c r="N26" s="12"/>
      <c r="O26" s="12" t="s">
        <v>23</v>
      </c>
      <c r="P26" s="12" t="s">
        <v>23</v>
      </c>
    </row>
    <row r="27" spans="2:16">
      <c r="B27" s="10" t="s">
        <v>125</v>
      </c>
      <c r="C27" s="15">
        <v>1070</v>
      </c>
      <c r="D27" s="12" t="s">
        <v>28</v>
      </c>
      <c r="E27" s="12">
        <v>25.2</v>
      </c>
      <c r="F27" s="12">
        <v>40.65</v>
      </c>
      <c r="G27" s="12">
        <v>59.49</v>
      </c>
      <c r="H27" s="13"/>
      <c r="I27" s="12">
        <v>1</v>
      </c>
      <c r="J27" s="12" t="s">
        <v>126</v>
      </c>
      <c r="K27" s="14" t="s">
        <v>381</v>
      </c>
      <c r="L27" s="13" t="s">
        <v>382</v>
      </c>
      <c r="M27" s="12" t="s">
        <v>26</v>
      </c>
      <c r="N27" s="12">
        <v>110</v>
      </c>
      <c r="O27" s="12" t="s">
        <v>23</v>
      </c>
      <c r="P27" s="12" t="s">
        <v>23</v>
      </c>
    </row>
    <row r="28" spans="2:16">
      <c r="B28" s="10" t="s">
        <v>127</v>
      </c>
      <c r="C28" s="12">
        <v>852.8</v>
      </c>
      <c r="D28" s="12" t="s">
        <v>28</v>
      </c>
      <c r="E28" s="12">
        <v>17.2</v>
      </c>
      <c r="F28" s="12">
        <v>54.47</v>
      </c>
      <c r="G28" s="12">
        <v>63.74</v>
      </c>
      <c r="H28" s="13"/>
      <c r="I28" s="12">
        <v>6</v>
      </c>
      <c r="J28" s="12" t="s">
        <v>128</v>
      </c>
      <c r="K28" s="14" t="s">
        <v>381</v>
      </c>
      <c r="L28" s="13" t="s">
        <v>382</v>
      </c>
      <c r="M28" s="12" t="s">
        <v>115</v>
      </c>
      <c r="N28" s="12">
        <v>110</v>
      </c>
      <c r="O28" s="12" t="s">
        <v>23</v>
      </c>
      <c r="P28" s="12" t="s">
        <v>23</v>
      </c>
    </row>
    <row r="29" spans="2:16">
      <c r="B29" s="10" t="s">
        <v>129</v>
      </c>
      <c r="C29" s="12">
        <v>900</v>
      </c>
      <c r="D29" s="12" t="s">
        <v>28</v>
      </c>
      <c r="E29" s="12">
        <v>15.5</v>
      </c>
      <c r="F29" s="12">
        <v>57.91</v>
      </c>
      <c r="G29" s="12">
        <v>64.33</v>
      </c>
      <c r="H29" s="13"/>
      <c r="I29" s="12">
        <v>6</v>
      </c>
      <c r="J29" s="12" t="s">
        <v>31</v>
      </c>
      <c r="K29" s="14" t="s">
        <v>381</v>
      </c>
      <c r="L29" s="13" t="s">
        <v>382</v>
      </c>
      <c r="M29" s="12" t="s">
        <v>26</v>
      </c>
      <c r="N29" s="12"/>
      <c r="O29" s="12" t="s">
        <v>23</v>
      </c>
      <c r="P29" s="12" t="s">
        <v>23</v>
      </c>
    </row>
    <row r="30" spans="2:16">
      <c r="B30" s="10" t="s">
        <v>130</v>
      </c>
      <c r="C30" s="12">
        <v>970</v>
      </c>
      <c r="D30" s="12" t="s">
        <v>28</v>
      </c>
      <c r="E30" s="12">
        <v>12.3</v>
      </c>
      <c r="F30" s="12">
        <v>78.709999999999994</v>
      </c>
      <c r="G30" s="12">
        <v>37.950000000000003</v>
      </c>
      <c r="H30" s="13"/>
      <c r="I30" s="12">
        <v>6</v>
      </c>
      <c r="J30" s="12" t="s">
        <v>131</v>
      </c>
      <c r="K30" s="14" t="s">
        <v>381</v>
      </c>
      <c r="L30" s="13" t="s">
        <v>386</v>
      </c>
      <c r="M30" s="12" t="s">
        <v>26</v>
      </c>
      <c r="N30" s="12"/>
      <c r="O30" s="12" t="s">
        <v>23</v>
      </c>
      <c r="P30" s="12" t="s">
        <v>23</v>
      </c>
    </row>
    <row r="31" spans="2:16">
      <c r="B31" s="10" t="s">
        <v>132</v>
      </c>
      <c r="C31" s="12">
        <v>900</v>
      </c>
      <c r="D31" s="12" t="s">
        <v>28</v>
      </c>
      <c r="E31" s="12">
        <v>13.7</v>
      </c>
      <c r="F31" s="12">
        <v>65.849999999999994</v>
      </c>
      <c r="G31" s="12">
        <v>41.73</v>
      </c>
      <c r="H31" s="13"/>
      <c r="I31" s="12">
        <v>6</v>
      </c>
      <c r="J31" s="12" t="s">
        <v>133</v>
      </c>
      <c r="K31" s="14" t="s">
        <v>381</v>
      </c>
      <c r="L31" s="13" t="s">
        <v>383</v>
      </c>
      <c r="M31" s="12" t="s">
        <v>26</v>
      </c>
      <c r="N31" s="12"/>
      <c r="O31" s="12" t="s">
        <v>23</v>
      </c>
      <c r="P31" s="12" t="s">
        <v>23</v>
      </c>
    </row>
    <row r="32" spans="2:16">
      <c r="B32" s="10" t="s">
        <v>134</v>
      </c>
      <c r="C32" s="15">
        <v>1188</v>
      </c>
      <c r="D32" s="12" t="s">
        <v>28</v>
      </c>
      <c r="E32" s="12">
        <v>26.4</v>
      </c>
      <c r="F32" s="12">
        <v>49.48</v>
      </c>
      <c r="G32" s="12">
        <v>57.96</v>
      </c>
      <c r="H32" s="13"/>
      <c r="I32" s="12">
        <v>1</v>
      </c>
      <c r="J32" s="12" t="s">
        <v>135</v>
      </c>
      <c r="K32" s="14" t="s">
        <v>381</v>
      </c>
      <c r="L32" s="13" t="s">
        <v>382</v>
      </c>
      <c r="M32" s="12" t="s">
        <v>26</v>
      </c>
      <c r="N32" s="12">
        <v>165</v>
      </c>
      <c r="O32" s="12" t="s">
        <v>23</v>
      </c>
      <c r="P32" s="12" t="s">
        <v>23</v>
      </c>
    </row>
    <row r="33" spans="2:16">
      <c r="B33" s="10" t="s">
        <v>136</v>
      </c>
      <c r="C33" s="12">
        <v>985</v>
      </c>
      <c r="D33" s="12" t="s">
        <v>28</v>
      </c>
      <c r="E33" s="12">
        <v>13.6</v>
      </c>
      <c r="F33" s="12">
        <v>72.31</v>
      </c>
      <c r="G33" s="12">
        <v>65.849999999999994</v>
      </c>
      <c r="H33" s="13"/>
      <c r="I33" s="12">
        <v>6</v>
      </c>
      <c r="J33" s="12" t="s">
        <v>137</v>
      </c>
      <c r="K33" s="14" t="s">
        <v>381</v>
      </c>
      <c r="L33" s="13" t="s">
        <v>383</v>
      </c>
      <c r="M33" s="12" t="s">
        <v>32</v>
      </c>
      <c r="N33" s="12"/>
      <c r="O33" s="12" t="s">
        <v>23</v>
      </c>
      <c r="P33" s="12" t="s">
        <v>23</v>
      </c>
    </row>
    <row r="34" spans="2:16">
      <c r="B34" s="10" t="s">
        <v>138</v>
      </c>
      <c r="C34" s="15">
        <v>1228</v>
      </c>
      <c r="D34" s="12" t="s">
        <v>28</v>
      </c>
      <c r="E34" s="12">
        <v>30.4</v>
      </c>
      <c r="F34" s="12">
        <v>39.29</v>
      </c>
      <c r="G34" s="12">
        <v>60.76</v>
      </c>
      <c r="H34" s="13"/>
      <c r="I34" s="12">
        <v>1</v>
      </c>
      <c r="J34" s="12" t="s">
        <v>135</v>
      </c>
      <c r="K34" s="14" t="s">
        <v>381</v>
      </c>
      <c r="L34" s="13" t="s">
        <v>382</v>
      </c>
      <c r="M34" s="12" t="s">
        <v>26</v>
      </c>
      <c r="N34" s="12">
        <v>110</v>
      </c>
      <c r="O34" s="12" t="s">
        <v>23</v>
      </c>
      <c r="P34" s="12" t="s">
        <v>23</v>
      </c>
    </row>
    <row r="35" spans="2:16">
      <c r="B35" s="10" t="s">
        <v>139</v>
      </c>
      <c r="C35" s="12">
        <v>960</v>
      </c>
      <c r="D35" s="12" t="s">
        <v>28</v>
      </c>
      <c r="E35" s="12">
        <v>13.8</v>
      </c>
      <c r="F35" s="12">
        <v>69.36</v>
      </c>
      <c r="G35" s="12">
        <v>66.760000000000005</v>
      </c>
      <c r="H35" s="13"/>
      <c r="I35" s="12">
        <v>5</v>
      </c>
      <c r="J35" s="12" t="s">
        <v>140</v>
      </c>
      <c r="K35" s="14" t="s">
        <v>381</v>
      </c>
      <c r="L35" s="13" t="s">
        <v>383</v>
      </c>
      <c r="M35" s="12" t="s">
        <v>32</v>
      </c>
      <c r="N35" s="12"/>
      <c r="O35" s="12" t="s">
        <v>23</v>
      </c>
      <c r="P35" s="12" t="s">
        <v>23</v>
      </c>
    </row>
    <row r="36" spans="2:16">
      <c r="B36" s="10" t="s">
        <v>141</v>
      </c>
      <c r="C36" s="12">
        <v>868</v>
      </c>
      <c r="D36" s="12" t="s">
        <v>28</v>
      </c>
      <c r="E36" s="12">
        <v>23.1</v>
      </c>
      <c r="F36" s="12">
        <v>42.15</v>
      </c>
      <c r="G36" s="12">
        <v>63.1</v>
      </c>
      <c r="H36" s="13"/>
      <c r="I36" s="12">
        <v>6</v>
      </c>
      <c r="J36" s="12" t="s">
        <v>119</v>
      </c>
      <c r="K36" s="14" t="s">
        <v>381</v>
      </c>
      <c r="L36" s="13" t="s">
        <v>382</v>
      </c>
      <c r="M36" s="12" t="s">
        <v>22</v>
      </c>
      <c r="N36" s="12">
        <v>150</v>
      </c>
      <c r="O36" s="12" t="s">
        <v>23</v>
      </c>
      <c r="P36" s="12" t="s">
        <v>23</v>
      </c>
    </row>
    <row r="37" spans="2:16">
      <c r="B37" s="10" t="s">
        <v>142</v>
      </c>
      <c r="C37" s="15">
        <v>1050</v>
      </c>
      <c r="D37" s="12" t="s">
        <v>28</v>
      </c>
      <c r="E37" s="12">
        <v>23.3</v>
      </c>
      <c r="F37" s="12">
        <v>45.14</v>
      </c>
      <c r="G37" s="12">
        <v>64.989999999999995</v>
      </c>
      <c r="H37" s="13"/>
      <c r="I37" s="12">
        <v>6</v>
      </c>
      <c r="J37" s="12" t="s">
        <v>143</v>
      </c>
      <c r="K37" s="14" t="s">
        <v>381</v>
      </c>
      <c r="L37" s="13" t="s">
        <v>382</v>
      </c>
      <c r="M37" s="12" t="s">
        <v>22</v>
      </c>
      <c r="N37" s="12"/>
      <c r="O37" s="12" t="s">
        <v>23</v>
      </c>
      <c r="P37" s="12" t="s">
        <v>23</v>
      </c>
    </row>
    <row r="38" spans="2:16">
      <c r="B38" s="10" t="s">
        <v>144</v>
      </c>
      <c r="C38" s="15">
        <v>1350</v>
      </c>
      <c r="D38" s="12" t="s">
        <v>28</v>
      </c>
      <c r="E38" s="12">
        <v>22.9</v>
      </c>
      <c r="F38" s="12">
        <v>59.05</v>
      </c>
      <c r="G38" s="12">
        <v>62.79</v>
      </c>
      <c r="H38" s="13"/>
      <c r="I38" s="12">
        <v>6</v>
      </c>
      <c r="J38" s="12" t="s">
        <v>117</v>
      </c>
      <c r="K38" s="14" t="s">
        <v>381</v>
      </c>
      <c r="L38" s="13" t="s">
        <v>382</v>
      </c>
      <c r="M38" s="12" t="s">
        <v>26</v>
      </c>
      <c r="N38" s="12"/>
      <c r="O38" s="12" t="s">
        <v>23</v>
      </c>
      <c r="P38" s="12" t="s">
        <v>23</v>
      </c>
    </row>
    <row r="39" spans="2:16">
      <c r="B39" s="10" t="s">
        <v>145</v>
      </c>
      <c r="C39" s="15">
        <v>1068</v>
      </c>
      <c r="D39" s="12" t="s">
        <v>28</v>
      </c>
      <c r="E39" s="12">
        <v>26.5</v>
      </c>
      <c r="F39" s="12">
        <v>40.840000000000003</v>
      </c>
      <c r="G39" s="12">
        <v>60.76</v>
      </c>
      <c r="H39" s="13"/>
      <c r="I39" s="12">
        <v>1</v>
      </c>
      <c r="J39" s="12" t="s">
        <v>146</v>
      </c>
      <c r="K39" s="14" t="s">
        <v>381</v>
      </c>
      <c r="L39" s="13" t="s">
        <v>382</v>
      </c>
      <c r="M39" s="12" t="s">
        <v>26</v>
      </c>
      <c r="N39" s="12">
        <v>95</v>
      </c>
      <c r="O39" s="12" t="s">
        <v>23</v>
      </c>
      <c r="P39" s="12" t="s">
        <v>23</v>
      </c>
    </row>
    <row r="40" spans="2:16">
      <c r="B40" s="10" t="s">
        <v>147</v>
      </c>
      <c r="C40" s="12">
        <v>793</v>
      </c>
      <c r="D40" s="12" t="s">
        <v>28</v>
      </c>
      <c r="E40" s="12">
        <v>15.3</v>
      </c>
      <c r="F40" s="12">
        <v>55.81</v>
      </c>
      <c r="G40" s="12">
        <v>64.63</v>
      </c>
      <c r="H40" s="13"/>
      <c r="I40" s="12">
        <v>5</v>
      </c>
      <c r="J40" s="12" t="s">
        <v>148</v>
      </c>
      <c r="K40" s="14" t="s">
        <v>381</v>
      </c>
      <c r="L40" s="13" t="s">
        <v>383</v>
      </c>
      <c r="M40" s="12" t="s">
        <v>26</v>
      </c>
      <c r="N40" s="12">
        <v>226</v>
      </c>
      <c r="O40" s="12" t="s">
        <v>23</v>
      </c>
      <c r="P40" s="12" t="s">
        <v>23</v>
      </c>
    </row>
    <row r="41" spans="2:16">
      <c r="B41" s="10" t="s">
        <v>149</v>
      </c>
      <c r="C41" s="12">
        <v>900</v>
      </c>
      <c r="D41" s="12" t="s">
        <v>28</v>
      </c>
      <c r="E41" s="12">
        <v>14.8</v>
      </c>
      <c r="F41" s="12">
        <v>60.84</v>
      </c>
      <c r="G41" s="12">
        <v>66.02</v>
      </c>
      <c r="H41" s="13"/>
      <c r="I41" s="12">
        <v>6</v>
      </c>
      <c r="J41" s="12" t="s">
        <v>150</v>
      </c>
      <c r="K41" s="14" t="s">
        <v>381</v>
      </c>
      <c r="L41" s="13" t="s">
        <v>382</v>
      </c>
      <c r="M41" s="12" t="s">
        <v>32</v>
      </c>
      <c r="N41" s="12"/>
      <c r="O41" s="12" t="s">
        <v>23</v>
      </c>
      <c r="P41" s="12" t="s">
        <v>23</v>
      </c>
    </row>
    <row r="42" spans="2:16">
      <c r="B42" s="10" t="s">
        <v>151</v>
      </c>
      <c r="C42" s="12">
        <v>600</v>
      </c>
      <c r="D42" s="12" t="s">
        <v>28</v>
      </c>
      <c r="E42" s="12">
        <v>8.3000000000000007</v>
      </c>
      <c r="F42" s="12">
        <v>71.930000000000007</v>
      </c>
      <c r="G42" s="12">
        <v>65.290000000000006</v>
      </c>
      <c r="H42" s="13"/>
      <c r="I42" s="12">
        <v>6</v>
      </c>
      <c r="J42" s="12" t="s">
        <v>152</v>
      </c>
      <c r="K42" s="14" t="s">
        <v>381</v>
      </c>
      <c r="L42" s="13" t="s">
        <v>383</v>
      </c>
      <c r="M42" s="12" t="s">
        <v>32</v>
      </c>
      <c r="N42" s="12"/>
      <c r="O42" s="12" t="s">
        <v>23</v>
      </c>
      <c r="P42" s="12" t="s">
        <v>23</v>
      </c>
    </row>
    <row r="43" spans="2:16">
      <c r="B43" s="10" t="s">
        <v>153</v>
      </c>
      <c r="C43" s="12">
        <v>838</v>
      </c>
      <c r="D43" s="12" t="s">
        <v>28</v>
      </c>
      <c r="E43" s="12">
        <v>14.4</v>
      </c>
      <c r="F43" s="12">
        <v>58.06</v>
      </c>
      <c r="G43" s="12">
        <v>51.57</v>
      </c>
      <c r="H43" s="13"/>
      <c r="I43" s="12">
        <v>6</v>
      </c>
      <c r="J43" s="12" t="s">
        <v>133</v>
      </c>
      <c r="K43" s="14" t="s">
        <v>381</v>
      </c>
      <c r="L43" s="13" t="s">
        <v>382</v>
      </c>
      <c r="M43" s="12" t="s">
        <v>26</v>
      </c>
      <c r="N43" s="12"/>
      <c r="O43" s="12" t="s">
        <v>23</v>
      </c>
      <c r="P43" s="12" t="s">
        <v>23</v>
      </c>
    </row>
    <row r="44" spans="2:16">
      <c r="B44" s="10" t="s">
        <v>154</v>
      </c>
      <c r="C44" s="12">
        <v>808.8</v>
      </c>
      <c r="D44" s="12" t="s">
        <v>28</v>
      </c>
      <c r="E44" s="12">
        <v>13.7</v>
      </c>
      <c r="F44" s="12">
        <v>58.82</v>
      </c>
      <c r="G44" s="12">
        <v>50.9</v>
      </c>
      <c r="H44" s="13"/>
      <c r="I44" s="12">
        <v>6</v>
      </c>
      <c r="J44" s="12" t="s">
        <v>155</v>
      </c>
      <c r="K44" s="14" t="s">
        <v>381</v>
      </c>
      <c r="L44" s="13" t="s">
        <v>382</v>
      </c>
      <c r="M44" s="12" t="s">
        <v>26</v>
      </c>
      <c r="N44" s="12"/>
      <c r="O44" s="12" t="s">
        <v>23</v>
      </c>
      <c r="P44" s="12" t="s">
        <v>23</v>
      </c>
    </row>
    <row r="45" spans="2:16">
      <c r="B45" s="10" t="s">
        <v>156</v>
      </c>
      <c r="C45" s="12">
        <v>970</v>
      </c>
      <c r="D45" s="12" t="s">
        <v>28</v>
      </c>
      <c r="E45" s="12">
        <v>21.4</v>
      </c>
      <c r="F45" s="12">
        <v>45.24</v>
      </c>
      <c r="G45" s="12">
        <v>64.489999999999995</v>
      </c>
      <c r="H45" s="13"/>
      <c r="I45" s="12">
        <v>6</v>
      </c>
      <c r="J45" s="12" t="s">
        <v>95</v>
      </c>
      <c r="K45" s="14" t="s">
        <v>381</v>
      </c>
      <c r="L45" s="13" t="s">
        <v>382</v>
      </c>
      <c r="M45" s="12" t="s">
        <v>22</v>
      </c>
      <c r="N45" s="12"/>
      <c r="O45" s="12" t="s">
        <v>23</v>
      </c>
      <c r="P45" s="12" t="s">
        <v>23</v>
      </c>
    </row>
    <row r="46" spans="2:16">
      <c r="B46" s="10" t="s">
        <v>157</v>
      </c>
      <c r="C46" s="15">
        <v>1222</v>
      </c>
      <c r="D46" s="12" t="s">
        <v>28</v>
      </c>
      <c r="E46" s="12">
        <v>22.4</v>
      </c>
      <c r="F46" s="12">
        <v>54.47</v>
      </c>
      <c r="G46" s="12">
        <v>63.74</v>
      </c>
      <c r="H46" s="13"/>
      <c r="I46" s="12">
        <v>6</v>
      </c>
      <c r="J46" s="12" t="s">
        <v>158</v>
      </c>
      <c r="K46" s="14" t="s">
        <v>381</v>
      </c>
      <c r="L46" s="13" t="s">
        <v>382</v>
      </c>
      <c r="M46" s="12" t="s">
        <v>26</v>
      </c>
      <c r="N46" s="12"/>
      <c r="O46" s="12" t="s">
        <v>23</v>
      </c>
      <c r="P46" s="12" t="s">
        <v>23</v>
      </c>
    </row>
    <row r="47" spans="2:16">
      <c r="B47" s="10" t="s">
        <v>159</v>
      </c>
      <c r="C47" s="12">
        <v>950</v>
      </c>
      <c r="D47" s="12" t="s">
        <v>28</v>
      </c>
      <c r="E47" s="12">
        <v>21.1</v>
      </c>
      <c r="F47" s="12">
        <v>45.1</v>
      </c>
      <c r="G47" s="12">
        <v>65.06</v>
      </c>
      <c r="H47" s="13"/>
      <c r="I47" s="12">
        <v>6</v>
      </c>
      <c r="J47" s="12" t="s">
        <v>150</v>
      </c>
      <c r="K47" s="14" t="s">
        <v>381</v>
      </c>
      <c r="L47" s="13" t="s">
        <v>382</v>
      </c>
      <c r="M47" s="12" t="s">
        <v>22</v>
      </c>
      <c r="N47" s="12"/>
      <c r="O47" s="12" t="s">
        <v>23</v>
      </c>
      <c r="P47" s="12" t="s">
        <v>23</v>
      </c>
    </row>
    <row r="48" spans="2:16">
      <c r="B48" s="10" t="s">
        <v>160</v>
      </c>
      <c r="C48" s="15">
        <v>1275</v>
      </c>
      <c r="D48" s="12" t="s">
        <v>28</v>
      </c>
      <c r="E48" s="12">
        <v>21.6</v>
      </c>
      <c r="F48" s="12">
        <v>58.97</v>
      </c>
      <c r="G48" s="12">
        <v>67.34</v>
      </c>
      <c r="H48" s="13"/>
      <c r="I48" s="12">
        <v>5</v>
      </c>
      <c r="J48" s="12" t="s">
        <v>110</v>
      </c>
      <c r="K48" s="14" t="s">
        <v>381</v>
      </c>
      <c r="L48" s="13" t="s">
        <v>382</v>
      </c>
      <c r="M48" s="12" t="s">
        <v>32</v>
      </c>
      <c r="N48" s="12"/>
      <c r="O48" s="12" t="s">
        <v>23</v>
      </c>
      <c r="P48" s="12" t="s">
        <v>23</v>
      </c>
    </row>
    <row r="49" spans="2:16">
      <c r="B49" s="10" t="s">
        <v>161</v>
      </c>
      <c r="C49" s="15">
        <v>1300</v>
      </c>
      <c r="D49" s="12" t="s">
        <v>28</v>
      </c>
      <c r="E49" s="12">
        <v>22</v>
      </c>
      <c r="F49" s="12">
        <v>59.08</v>
      </c>
      <c r="G49" s="12">
        <v>50.55</v>
      </c>
      <c r="H49" s="13"/>
      <c r="I49" s="12">
        <v>6</v>
      </c>
      <c r="J49" s="12" t="s">
        <v>155</v>
      </c>
      <c r="K49" s="14" t="s">
        <v>381</v>
      </c>
      <c r="L49" s="13" t="s">
        <v>382</v>
      </c>
      <c r="M49" s="12" t="s">
        <v>26</v>
      </c>
      <c r="N49" s="12"/>
      <c r="O49" s="12" t="s">
        <v>23</v>
      </c>
      <c r="P49" s="12" t="s">
        <v>23</v>
      </c>
    </row>
    <row r="50" spans="2:16">
      <c r="B50" s="10" t="s">
        <v>162</v>
      </c>
      <c r="C50" s="15">
        <v>1278</v>
      </c>
      <c r="D50" s="12" t="s">
        <v>28</v>
      </c>
      <c r="E50" s="12">
        <v>21.7</v>
      </c>
      <c r="F50" s="12">
        <v>58.82</v>
      </c>
      <c r="G50" s="12">
        <v>63.09</v>
      </c>
      <c r="H50" s="13"/>
      <c r="I50" s="12">
        <v>6</v>
      </c>
      <c r="J50" s="12" t="s">
        <v>163</v>
      </c>
      <c r="K50" s="14" t="s">
        <v>381</v>
      </c>
      <c r="L50" s="13" t="s">
        <v>382</v>
      </c>
      <c r="M50" s="12" t="s">
        <v>26</v>
      </c>
      <c r="N50" s="12"/>
      <c r="O50" s="12" t="s">
        <v>23</v>
      </c>
      <c r="P50" s="12" t="s">
        <v>23</v>
      </c>
    </row>
    <row r="51" spans="2:16">
      <c r="B51" s="10" t="s">
        <v>164</v>
      </c>
      <c r="C51" s="15">
        <v>1000</v>
      </c>
      <c r="D51" s="12" t="s">
        <v>28</v>
      </c>
      <c r="E51" s="12">
        <v>18.600000000000001</v>
      </c>
      <c r="F51" s="12">
        <v>53.9</v>
      </c>
      <c r="G51" s="12">
        <v>50.97</v>
      </c>
      <c r="H51" s="13"/>
      <c r="I51" s="12">
        <v>6</v>
      </c>
      <c r="J51" s="12" t="s">
        <v>165</v>
      </c>
      <c r="K51" s="14" t="s">
        <v>381</v>
      </c>
      <c r="L51" s="13" t="s">
        <v>382</v>
      </c>
      <c r="M51" s="12" t="s">
        <v>26</v>
      </c>
      <c r="N51" s="12"/>
      <c r="O51" s="12" t="s">
        <v>23</v>
      </c>
      <c r="P51" s="12" t="s">
        <v>23</v>
      </c>
    </row>
    <row r="52" spans="2:16">
      <c r="B52" s="10" t="s">
        <v>166</v>
      </c>
      <c r="C52" s="12">
        <v>325</v>
      </c>
      <c r="D52" s="12" t="s">
        <v>28</v>
      </c>
      <c r="E52" s="12">
        <v>9.6</v>
      </c>
      <c r="F52" s="12">
        <v>33.729999999999997</v>
      </c>
      <c r="G52" s="12">
        <v>65.069999999999993</v>
      </c>
      <c r="H52" s="13"/>
      <c r="I52" s="12">
        <v>6</v>
      </c>
      <c r="J52" s="12" t="s">
        <v>167</v>
      </c>
      <c r="K52" s="14" t="s">
        <v>384</v>
      </c>
      <c r="L52" s="13" t="s">
        <v>385</v>
      </c>
      <c r="M52" s="12" t="s">
        <v>45</v>
      </c>
      <c r="N52" s="12"/>
      <c r="O52" s="12" t="s">
        <v>23</v>
      </c>
      <c r="P52" s="12" t="s">
        <v>23</v>
      </c>
    </row>
    <row r="53" spans="2:16">
      <c r="B53" s="10" t="s">
        <v>168</v>
      </c>
      <c r="C53" s="12">
        <v>520</v>
      </c>
      <c r="D53" s="12" t="s">
        <v>28</v>
      </c>
      <c r="E53" s="12">
        <v>14.7</v>
      </c>
      <c r="F53" s="12">
        <v>35.340000000000003</v>
      </c>
      <c r="G53" s="12">
        <v>61.82</v>
      </c>
      <c r="H53" s="13"/>
      <c r="I53" s="12">
        <v>6</v>
      </c>
      <c r="J53" s="12" t="s">
        <v>169</v>
      </c>
      <c r="K53" s="14" t="s">
        <v>384</v>
      </c>
      <c r="L53" s="13" t="s">
        <v>385</v>
      </c>
      <c r="M53" s="12" t="s">
        <v>45</v>
      </c>
      <c r="N53" s="12"/>
      <c r="O53" s="12" t="s">
        <v>23</v>
      </c>
      <c r="P53" s="12" t="s">
        <v>23</v>
      </c>
    </row>
    <row r="54" spans="2:16">
      <c r="B54" s="10" t="s">
        <v>170</v>
      </c>
      <c r="C54" s="12">
        <v>750</v>
      </c>
      <c r="D54" s="12" t="s">
        <v>28</v>
      </c>
      <c r="E54" s="12">
        <v>24.1</v>
      </c>
      <c r="F54" s="12">
        <v>31.14</v>
      </c>
      <c r="G54" s="12">
        <v>63.1</v>
      </c>
      <c r="H54" s="13"/>
      <c r="I54" s="12">
        <v>6</v>
      </c>
      <c r="J54" s="12" t="s">
        <v>73</v>
      </c>
      <c r="K54" s="14" t="s">
        <v>384</v>
      </c>
      <c r="L54" s="13" t="s">
        <v>385</v>
      </c>
      <c r="M54" s="12" t="s">
        <v>45</v>
      </c>
      <c r="N54" s="12"/>
      <c r="O54" s="12" t="s">
        <v>23</v>
      </c>
      <c r="P54" s="12" t="s">
        <v>23</v>
      </c>
    </row>
    <row r="55" spans="2:16">
      <c r="B55" s="10" t="s">
        <v>171</v>
      </c>
      <c r="C55" s="15">
        <v>1200</v>
      </c>
      <c r="D55" s="12" t="s">
        <v>28</v>
      </c>
      <c r="E55" s="12">
        <v>23.5</v>
      </c>
      <c r="F55" s="12">
        <v>55.51</v>
      </c>
      <c r="G55" s="12">
        <v>63.15</v>
      </c>
      <c r="H55" s="13"/>
      <c r="I55" s="12">
        <v>6</v>
      </c>
      <c r="J55" s="12" t="s">
        <v>79</v>
      </c>
      <c r="K55" s="14" t="s">
        <v>381</v>
      </c>
      <c r="L55" s="13" t="s">
        <v>382</v>
      </c>
      <c r="M55" s="12" t="s">
        <v>32</v>
      </c>
      <c r="N55" s="12">
        <v>120</v>
      </c>
      <c r="O55" s="12" t="s">
        <v>23</v>
      </c>
      <c r="P55" s="12" t="s">
        <v>23</v>
      </c>
    </row>
    <row r="56" spans="2:16">
      <c r="B56" s="10" t="s">
        <v>172</v>
      </c>
      <c r="C56" s="15">
        <v>1185</v>
      </c>
      <c r="D56" s="12" t="s">
        <v>28</v>
      </c>
      <c r="E56" s="12">
        <v>26.4</v>
      </c>
      <c r="F56" s="12">
        <v>49.43</v>
      </c>
      <c r="G56" s="12">
        <v>57.99</v>
      </c>
      <c r="H56" s="13"/>
      <c r="I56" s="12">
        <v>1</v>
      </c>
      <c r="J56" s="12" t="s">
        <v>146</v>
      </c>
      <c r="K56" s="14" t="s">
        <v>381</v>
      </c>
      <c r="L56" s="13" t="s">
        <v>382</v>
      </c>
      <c r="M56" s="12" t="s">
        <v>26</v>
      </c>
      <c r="N56" s="12">
        <v>165</v>
      </c>
      <c r="O56" s="12" t="s">
        <v>23</v>
      </c>
      <c r="P56" s="12" t="s">
        <v>23</v>
      </c>
    </row>
    <row r="57" spans="2:16">
      <c r="B57" s="10" t="s">
        <v>173</v>
      </c>
      <c r="C57" s="15">
        <v>1200</v>
      </c>
      <c r="D57" s="12" t="s">
        <v>28</v>
      </c>
      <c r="E57" s="12">
        <v>26.5</v>
      </c>
      <c r="F57" s="12">
        <v>49.92</v>
      </c>
      <c r="G57" s="12">
        <v>58.27</v>
      </c>
      <c r="H57" s="13"/>
      <c r="I57" s="12">
        <v>1</v>
      </c>
      <c r="J57" s="12" t="s">
        <v>174</v>
      </c>
      <c r="K57" s="14" t="s">
        <v>381</v>
      </c>
      <c r="L57" s="13" t="s">
        <v>382</v>
      </c>
      <c r="M57" s="12" t="s">
        <v>26</v>
      </c>
      <c r="N57" s="12">
        <v>165</v>
      </c>
      <c r="O57" s="12" t="s">
        <v>23</v>
      </c>
      <c r="P57" s="12" t="s">
        <v>23</v>
      </c>
    </row>
    <row r="58" spans="2:16">
      <c r="B58" s="10" t="s">
        <v>175</v>
      </c>
      <c r="C58" s="12">
        <v>766</v>
      </c>
      <c r="D58" s="12" t="s">
        <v>28</v>
      </c>
      <c r="E58" s="12">
        <v>14.1</v>
      </c>
      <c r="F58" s="12">
        <v>54.47</v>
      </c>
      <c r="G58" s="12">
        <v>63.74</v>
      </c>
      <c r="H58" s="13"/>
      <c r="I58" s="12">
        <v>6</v>
      </c>
      <c r="J58" s="12" t="s">
        <v>163</v>
      </c>
      <c r="K58" s="14" t="s">
        <v>381</v>
      </c>
      <c r="L58" s="13" t="s">
        <v>382</v>
      </c>
      <c r="M58" s="12" t="s">
        <v>26</v>
      </c>
      <c r="N58" s="12"/>
      <c r="O58" s="12" t="s">
        <v>23</v>
      </c>
      <c r="P58" s="12" t="s">
        <v>23</v>
      </c>
    </row>
    <row r="59" spans="2:16">
      <c r="B59" s="10" t="s">
        <v>176</v>
      </c>
      <c r="C59" s="12">
        <v>980</v>
      </c>
      <c r="D59" s="12" t="s">
        <v>28</v>
      </c>
      <c r="E59" s="12">
        <v>21.9</v>
      </c>
      <c r="F59" s="12">
        <v>44.8</v>
      </c>
      <c r="G59" s="12">
        <v>66.41</v>
      </c>
      <c r="H59" s="13"/>
      <c r="I59" s="12">
        <v>6</v>
      </c>
      <c r="J59" s="12" t="s">
        <v>177</v>
      </c>
      <c r="K59" s="14" t="s">
        <v>384</v>
      </c>
      <c r="L59" s="13" t="s">
        <v>385</v>
      </c>
      <c r="M59" s="12" t="s">
        <v>32</v>
      </c>
      <c r="N59" s="12"/>
      <c r="O59" s="12" t="s">
        <v>23</v>
      </c>
      <c r="P59" s="12" t="s">
        <v>23</v>
      </c>
    </row>
    <row r="60" spans="2:16">
      <c r="B60" s="10" t="s">
        <v>178</v>
      </c>
      <c r="C60" s="12">
        <v>613.4</v>
      </c>
      <c r="D60" s="12" t="s">
        <v>28</v>
      </c>
      <c r="E60" s="12">
        <v>13.9</v>
      </c>
      <c r="F60" s="12">
        <v>44.14</v>
      </c>
      <c r="G60" s="12">
        <v>63.37</v>
      </c>
      <c r="H60" s="13"/>
      <c r="I60" s="12">
        <v>6</v>
      </c>
      <c r="J60" s="12" t="s">
        <v>51</v>
      </c>
      <c r="K60" s="14" t="s">
        <v>381</v>
      </c>
      <c r="L60" s="13" t="s">
        <v>382</v>
      </c>
      <c r="M60" s="12" t="s">
        <v>86</v>
      </c>
      <c r="N60" s="12"/>
      <c r="O60" s="12" t="s">
        <v>23</v>
      </c>
      <c r="P60" s="12" t="s">
        <v>23</v>
      </c>
    </row>
    <row r="61" spans="2:16">
      <c r="B61" s="10" t="s">
        <v>179</v>
      </c>
      <c r="C61" s="15">
        <v>1060</v>
      </c>
      <c r="D61" s="12" t="s">
        <v>28</v>
      </c>
      <c r="E61" s="12">
        <v>25.9</v>
      </c>
      <c r="F61" s="12">
        <v>39.29</v>
      </c>
      <c r="G61" s="12">
        <v>60.76</v>
      </c>
      <c r="H61" s="13"/>
      <c r="I61" s="12">
        <v>1</v>
      </c>
      <c r="J61" s="12" t="s">
        <v>126</v>
      </c>
      <c r="K61" s="14" t="s">
        <v>381</v>
      </c>
      <c r="L61" s="13" t="s">
        <v>382</v>
      </c>
      <c r="M61" s="12" t="s">
        <v>26</v>
      </c>
      <c r="N61" s="12">
        <v>110</v>
      </c>
      <c r="O61" s="12" t="s">
        <v>23</v>
      </c>
      <c r="P61" s="12" t="s">
        <v>23</v>
      </c>
    </row>
    <row r="62" spans="2:16">
      <c r="B62" s="10" t="s">
        <v>180</v>
      </c>
      <c r="C62" s="12">
        <v>850</v>
      </c>
      <c r="D62" s="12" t="s">
        <v>28</v>
      </c>
      <c r="E62" s="12">
        <v>17.600000000000001</v>
      </c>
      <c r="F62" s="12">
        <v>54.47</v>
      </c>
      <c r="G62" s="12">
        <v>63.74</v>
      </c>
      <c r="H62" s="13"/>
      <c r="I62" s="12">
        <v>6</v>
      </c>
      <c r="J62" s="12" t="s">
        <v>181</v>
      </c>
      <c r="K62" s="14" t="s">
        <v>381</v>
      </c>
      <c r="L62" s="13" t="s">
        <v>382</v>
      </c>
      <c r="M62" s="12" t="s">
        <v>26</v>
      </c>
      <c r="N62" s="12">
        <v>90</v>
      </c>
      <c r="O62" s="12" t="s">
        <v>23</v>
      </c>
      <c r="P62" s="12" t="s">
        <v>23</v>
      </c>
    </row>
    <row r="63" spans="2:16">
      <c r="B63" s="10" t="s">
        <v>182</v>
      </c>
      <c r="C63" s="12">
        <v>760</v>
      </c>
      <c r="D63" s="12" t="s">
        <v>65</v>
      </c>
      <c r="E63" s="12">
        <v>13.9</v>
      </c>
      <c r="F63" s="12">
        <v>54.59</v>
      </c>
      <c r="G63" s="12">
        <v>50.12</v>
      </c>
      <c r="H63" s="13"/>
      <c r="I63" s="12">
        <v>6</v>
      </c>
      <c r="J63" s="12" t="s">
        <v>183</v>
      </c>
      <c r="K63" s="14" t="s">
        <v>381</v>
      </c>
      <c r="L63" s="13" t="s">
        <v>382</v>
      </c>
      <c r="M63" s="12" t="s">
        <v>26</v>
      </c>
      <c r="N63" s="12">
        <v>87</v>
      </c>
      <c r="O63" s="12" t="s">
        <v>23</v>
      </c>
      <c r="P63" s="12" t="s">
        <v>23</v>
      </c>
    </row>
    <row r="64" spans="2:16">
      <c r="B64" s="10" t="s">
        <v>184</v>
      </c>
      <c r="C64" s="15">
        <v>1232</v>
      </c>
      <c r="D64" s="12" t="s">
        <v>65</v>
      </c>
      <c r="E64" s="12">
        <v>26.8</v>
      </c>
      <c r="F64" s="12">
        <v>51.16</v>
      </c>
      <c r="G64" s="12">
        <v>60.24</v>
      </c>
      <c r="H64" s="13"/>
      <c r="I64" s="12">
        <v>1</v>
      </c>
      <c r="J64" s="12" t="s">
        <v>185</v>
      </c>
      <c r="K64" s="14" t="s">
        <v>381</v>
      </c>
      <c r="L64" s="13" t="s">
        <v>382</v>
      </c>
      <c r="M64" s="12" t="s">
        <v>26</v>
      </c>
      <c r="N64" s="12">
        <v>150</v>
      </c>
      <c r="O64" s="12" t="s">
        <v>23</v>
      </c>
      <c r="P64" s="12" t="s">
        <v>23</v>
      </c>
    </row>
    <row r="65" spans="2:16">
      <c r="B65" s="10" t="s">
        <v>186</v>
      </c>
      <c r="C65" s="12">
        <v>980</v>
      </c>
      <c r="D65" s="12" t="s">
        <v>65</v>
      </c>
      <c r="E65" s="12">
        <v>21.5</v>
      </c>
      <c r="F65" s="12">
        <v>45.62</v>
      </c>
      <c r="G65" s="12">
        <v>63.36</v>
      </c>
      <c r="H65" s="13"/>
      <c r="I65" s="12">
        <v>6</v>
      </c>
      <c r="J65" s="12" t="s">
        <v>29</v>
      </c>
      <c r="K65" s="14" t="s">
        <v>381</v>
      </c>
      <c r="L65" s="13" t="s">
        <v>382</v>
      </c>
      <c r="M65" s="12" t="s">
        <v>22</v>
      </c>
      <c r="N65" s="12"/>
      <c r="O65" s="12" t="s">
        <v>23</v>
      </c>
      <c r="P65" s="12" t="s">
        <v>23</v>
      </c>
    </row>
    <row r="66" spans="2:16">
      <c r="B66" s="10" t="s">
        <v>187</v>
      </c>
      <c r="C66" s="12">
        <v>610</v>
      </c>
      <c r="D66" s="12" t="s">
        <v>65</v>
      </c>
      <c r="E66" s="12">
        <v>13.8</v>
      </c>
      <c r="F66" s="12">
        <v>44.09</v>
      </c>
      <c r="G66" s="12">
        <v>66.290000000000006</v>
      </c>
      <c r="H66" s="13"/>
      <c r="I66" s="12">
        <v>6</v>
      </c>
      <c r="J66" s="12" t="s">
        <v>188</v>
      </c>
      <c r="K66" s="14" t="s">
        <v>381</v>
      </c>
      <c r="L66" s="13" t="s">
        <v>382</v>
      </c>
      <c r="M66" s="12" t="s">
        <v>22</v>
      </c>
      <c r="N66" s="12"/>
      <c r="O66" s="12" t="s">
        <v>23</v>
      </c>
      <c r="P66" s="12" t="s">
        <v>23</v>
      </c>
    </row>
    <row r="67" spans="2:16">
      <c r="B67" s="10" t="s">
        <v>189</v>
      </c>
      <c r="C67" s="15">
        <v>1160</v>
      </c>
      <c r="D67" s="12" t="s">
        <v>65</v>
      </c>
      <c r="E67" s="12">
        <v>25.8</v>
      </c>
      <c r="F67" s="12">
        <v>49.48</v>
      </c>
      <c r="G67" s="12">
        <v>57.96</v>
      </c>
      <c r="H67" s="13"/>
      <c r="I67" s="12">
        <v>1</v>
      </c>
      <c r="J67" s="12" t="s">
        <v>190</v>
      </c>
      <c r="K67" s="14" t="s">
        <v>381</v>
      </c>
      <c r="L67" s="13" t="s">
        <v>382</v>
      </c>
      <c r="M67" s="12" t="s">
        <v>26</v>
      </c>
      <c r="N67" s="12">
        <v>160</v>
      </c>
      <c r="O67" s="12" t="s">
        <v>23</v>
      </c>
      <c r="P67" s="12" t="s">
        <v>23</v>
      </c>
    </row>
    <row r="68" spans="2:16">
      <c r="B68" s="10" t="s">
        <v>191</v>
      </c>
      <c r="C68" s="15">
        <v>1250</v>
      </c>
      <c r="D68" s="12" t="s">
        <v>65</v>
      </c>
      <c r="E68" s="12">
        <v>27</v>
      </c>
      <c r="F68" s="12">
        <v>51.16</v>
      </c>
      <c r="G68" s="12">
        <v>60.24</v>
      </c>
      <c r="H68" s="13"/>
      <c r="I68" s="12">
        <v>1</v>
      </c>
      <c r="J68" s="12" t="s">
        <v>190</v>
      </c>
      <c r="K68" s="14" t="s">
        <v>381</v>
      </c>
      <c r="L68" s="13" t="s">
        <v>382</v>
      </c>
      <c r="M68" s="12" t="s">
        <v>26</v>
      </c>
      <c r="N68" s="12">
        <v>160</v>
      </c>
      <c r="O68" s="12" t="s">
        <v>23</v>
      </c>
      <c r="P68" s="12" t="s">
        <v>23</v>
      </c>
    </row>
    <row r="69" spans="2:16">
      <c r="B69" s="10" t="s">
        <v>192</v>
      </c>
      <c r="C69" s="15">
        <v>1228</v>
      </c>
      <c r="D69" s="12" t="s">
        <v>65</v>
      </c>
      <c r="E69" s="12">
        <v>25.6</v>
      </c>
      <c r="F69" s="12">
        <v>52.49</v>
      </c>
      <c r="G69" s="12">
        <v>58.48</v>
      </c>
      <c r="H69" s="13"/>
      <c r="I69" s="12">
        <v>1</v>
      </c>
      <c r="J69" s="12" t="s">
        <v>146</v>
      </c>
      <c r="K69" s="14" t="s">
        <v>381</v>
      </c>
      <c r="L69" s="13" t="s">
        <v>382</v>
      </c>
      <c r="M69" s="12" t="s">
        <v>32</v>
      </c>
      <c r="N69" s="12">
        <v>160</v>
      </c>
      <c r="O69" s="12" t="s">
        <v>23</v>
      </c>
      <c r="P69" s="12" t="s">
        <v>23</v>
      </c>
    </row>
    <row r="70" spans="2:16">
      <c r="B70" s="10" t="s">
        <v>193</v>
      </c>
      <c r="C70" s="15">
        <v>1145</v>
      </c>
      <c r="D70" s="12" t="s">
        <v>65</v>
      </c>
      <c r="E70" s="12">
        <v>26.5</v>
      </c>
      <c r="F70" s="12">
        <v>41.68</v>
      </c>
      <c r="G70" s="12">
        <v>58.27</v>
      </c>
      <c r="H70" s="13"/>
      <c r="I70" s="12">
        <v>1</v>
      </c>
      <c r="J70" s="12" t="s">
        <v>194</v>
      </c>
      <c r="K70" s="14" t="s">
        <v>381</v>
      </c>
      <c r="L70" s="13" t="s">
        <v>382</v>
      </c>
      <c r="M70" s="12" t="s">
        <v>26</v>
      </c>
      <c r="N70" s="12">
        <v>110</v>
      </c>
      <c r="O70" s="12" t="s">
        <v>23</v>
      </c>
      <c r="P70" s="12" t="s">
        <v>23</v>
      </c>
    </row>
    <row r="71" spans="2:16">
      <c r="B71" s="10" t="s">
        <v>195</v>
      </c>
      <c r="C71" s="12">
        <v>886</v>
      </c>
      <c r="D71" s="12" t="s">
        <v>65</v>
      </c>
      <c r="E71" s="12">
        <v>12.7</v>
      </c>
      <c r="F71" s="12">
        <v>69.510000000000005</v>
      </c>
      <c r="G71" s="12">
        <v>63.21</v>
      </c>
      <c r="H71" s="13"/>
      <c r="I71" s="12">
        <v>6</v>
      </c>
      <c r="J71" s="12" t="s">
        <v>196</v>
      </c>
      <c r="K71" s="14" t="s">
        <v>381</v>
      </c>
      <c r="L71" s="13" t="s">
        <v>383</v>
      </c>
      <c r="M71" s="12" t="s">
        <v>32</v>
      </c>
      <c r="N71" s="12"/>
      <c r="O71" s="12" t="s">
        <v>23</v>
      </c>
      <c r="P71" s="12" t="s">
        <v>23</v>
      </c>
    </row>
    <row r="72" spans="2:16">
      <c r="B72" s="10" t="s">
        <v>197</v>
      </c>
      <c r="C72" s="12">
        <v>900</v>
      </c>
      <c r="D72" s="12" t="s">
        <v>65</v>
      </c>
      <c r="E72" s="12">
        <v>21.4</v>
      </c>
      <c r="F72" s="12">
        <v>42.15</v>
      </c>
      <c r="G72" s="12">
        <v>63.1</v>
      </c>
      <c r="H72" s="13"/>
      <c r="I72" s="12">
        <v>6</v>
      </c>
      <c r="J72" s="12" t="s">
        <v>79</v>
      </c>
      <c r="K72" s="14" t="s">
        <v>381</v>
      </c>
      <c r="L72" s="13" t="s">
        <v>382</v>
      </c>
      <c r="M72" s="12" t="s">
        <v>22</v>
      </c>
      <c r="N72" s="12"/>
      <c r="O72" s="12" t="s">
        <v>23</v>
      </c>
      <c r="P72" s="12" t="s">
        <v>23</v>
      </c>
    </row>
    <row r="73" spans="2:16">
      <c r="B73" s="10" t="s">
        <v>198</v>
      </c>
      <c r="C73" s="15">
        <v>1200</v>
      </c>
      <c r="D73" s="12" t="s">
        <v>65</v>
      </c>
      <c r="E73" s="12">
        <v>28.2</v>
      </c>
      <c r="F73" s="12">
        <v>41.25</v>
      </c>
      <c r="G73" s="12">
        <v>57.96</v>
      </c>
      <c r="H73" s="13"/>
      <c r="I73" s="12">
        <v>1</v>
      </c>
      <c r="J73" s="12" t="s">
        <v>199</v>
      </c>
      <c r="K73" s="14" t="s">
        <v>381</v>
      </c>
      <c r="L73" s="13" t="s">
        <v>382</v>
      </c>
      <c r="M73" s="12" t="s">
        <v>26</v>
      </c>
      <c r="N73" s="12">
        <v>110</v>
      </c>
      <c r="O73" s="12" t="s">
        <v>23</v>
      </c>
      <c r="P73" s="12" t="s">
        <v>23</v>
      </c>
    </row>
    <row r="74" spans="2:16">
      <c r="B74" s="10" t="s">
        <v>200</v>
      </c>
      <c r="C74" s="12">
        <v>790</v>
      </c>
      <c r="D74" s="12" t="s">
        <v>65</v>
      </c>
      <c r="E74" s="12">
        <v>13.4</v>
      </c>
      <c r="F74" s="12">
        <v>59.05</v>
      </c>
      <c r="G74" s="12">
        <v>62.79</v>
      </c>
      <c r="H74" s="13"/>
      <c r="I74" s="12">
        <v>6</v>
      </c>
      <c r="J74" s="12" t="s">
        <v>201</v>
      </c>
      <c r="K74" s="14" t="s">
        <v>381</v>
      </c>
      <c r="L74" s="13" t="s">
        <v>382</v>
      </c>
      <c r="M74" s="12" t="s">
        <v>26</v>
      </c>
      <c r="N74" s="12"/>
      <c r="O74" s="12" t="s">
        <v>23</v>
      </c>
      <c r="P74" s="12" t="s">
        <v>23</v>
      </c>
    </row>
    <row r="75" spans="2:16">
      <c r="B75" s="10" t="s">
        <v>202</v>
      </c>
      <c r="C75" s="12">
        <v>695</v>
      </c>
      <c r="D75" s="12" t="s">
        <v>65</v>
      </c>
      <c r="E75" s="12">
        <v>15.2</v>
      </c>
      <c r="F75" s="12">
        <v>45.62</v>
      </c>
      <c r="G75" s="12">
        <v>48.07</v>
      </c>
      <c r="H75" s="13"/>
      <c r="I75" s="12">
        <v>6</v>
      </c>
      <c r="J75" s="12" t="s">
        <v>203</v>
      </c>
      <c r="K75" s="14" t="s">
        <v>381</v>
      </c>
      <c r="L75" s="13" t="s">
        <v>382</v>
      </c>
      <c r="M75" s="12" t="s">
        <v>204</v>
      </c>
      <c r="N75" s="12"/>
      <c r="O75" s="12" t="s">
        <v>23</v>
      </c>
      <c r="P75" s="12" t="s">
        <v>23</v>
      </c>
    </row>
    <row r="76" spans="2:16">
      <c r="B76" s="10" t="s">
        <v>205</v>
      </c>
      <c r="C76" s="12">
        <v>892</v>
      </c>
      <c r="D76" s="12" t="s">
        <v>65</v>
      </c>
      <c r="E76" s="12">
        <v>26.4</v>
      </c>
      <c r="F76" s="12">
        <v>33.770000000000003</v>
      </c>
      <c r="G76" s="12">
        <v>64.989999999999995</v>
      </c>
      <c r="H76" s="13"/>
      <c r="I76" s="12">
        <v>6</v>
      </c>
      <c r="J76" s="12" t="s">
        <v>97</v>
      </c>
      <c r="K76" s="14" t="s">
        <v>384</v>
      </c>
      <c r="L76" s="13" t="s">
        <v>385</v>
      </c>
      <c r="M76" s="12" t="s">
        <v>45</v>
      </c>
      <c r="N76" s="12"/>
      <c r="O76" s="12" t="s">
        <v>23</v>
      </c>
      <c r="P76" s="12" t="s">
        <v>23</v>
      </c>
    </row>
    <row r="77" spans="2:16">
      <c r="B77" s="10" t="s">
        <v>206</v>
      </c>
      <c r="C77" s="15">
        <v>1195</v>
      </c>
      <c r="D77" s="12" t="s">
        <v>65</v>
      </c>
      <c r="E77" s="12">
        <v>26.5</v>
      </c>
      <c r="F77" s="12">
        <v>49.91</v>
      </c>
      <c r="G77" s="12">
        <v>57.93</v>
      </c>
      <c r="H77" s="13"/>
      <c r="I77" s="12">
        <v>1</v>
      </c>
      <c r="J77" s="12" t="s">
        <v>190</v>
      </c>
      <c r="K77" s="14" t="s">
        <v>381</v>
      </c>
      <c r="L77" s="13" t="s">
        <v>382</v>
      </c>
      <c r="M77" s="12" t="s">
        <v>26</v>
      </c>
      <c r="N77" s="12">
        <v>160</v>
      </c>
      <c r="O77" s="12" t="s">
        <v>23</v>
      </c>
      <c r="P77" s="12" t="s">
        <v>23</v>
      </c>
    </row>
    <row r="78" spans="2:16">
      <c r="B78" s="10" t="s">
        <v>207</v>
      </c>
      <c r="C78" s="12">
        <v>508</v>
      </c>
      <c r="D78" s="12" t="s">
        <v>65</v>
      </c>
      <c r="E78" s="12">
        <v>14.4</v>
      </c>
      <c r="F78" s="12">
        <v>35.340000000000003</v>
      </c>
      <c r="G78" s="12">
        <v>61.82</v>
      </c>
      <c r="H78" s="13"/>
      <c r="I78" s="12">
        <v>6</v>
      </c>
      <c r="J78" s="12" t="s">
        <v>133</v>
      </c>
      <c r="K78" s="14" t="s">
        <v>384</v>
      </c>
      <c r="L78" s="13" t="s">
        <v>385</v>
      </c>
      <c r="M78" s="12" t="s">
        <v>22</v>
      </c>
      <c r="N78" s="12"/>
      <c r="O78" s="12" t="s">
        <v>23</v>
      </c>
      <c r="P78" s="12" t="s">
        <v>23</v>
      </c>
    </row>
    <row r="79" spans="2:16">
      <c r="B79" s="10" t="s">
        <v>208</v>
      </c>
      <c r="C79" s="12">
        <v>900</v>
      </c>
      <c r="D79" s="12" t="s">
        <v>65</v>
      </c>
      <c r="E79" s="12">
        <v>16.899999999999999</v>
      </c>
      <c r="F79" s="12">
        <v>53.11</v>
      </c>
      <c r="G79" s="12">
        <v>62.78</v>
      </c>
      <c r="H79" s="13"/>
      <c r="I79" s="12">
        <v>6</v>
      </c>
      <c r="J79" s="12" t="s">
        <v>79</v>
      </c>
      <c r="K79" s="14" t="s">
        <v>381</v>
      </c>
      <c r="L79" s="13" t="s">
        <v>382</v>
      </c>
      <c r="M79" s="12" t="s">
        <v>26</v>
      </c>
      <c r="N79" s="12"/>
      <c r="O79" s="12" t="s">
        <v>23</v>
      </c>
      <c r="P79" s="12" t="s">
        <v>23</v>
      </c>
    </row>
    <row r="80" spans="2:16">
      <c r="B80" s="10" t="s">
        <v>209</v>
      </c>
      <c r="C80" s="12">
        <v>930</v>
      </c>
      <c r="D80" s="12" t="s">
        <v>65</v>
      </c>
      <c r="E80" s="12">
        <v>21.1</v>
      </c>
      <c r="F80" s="12">
        <v>44.14</v>
      </c>
      <c r="G80" s="12">
        <v>49.68</v>
      </c>
      <c r="H80" s="13"/>
      <c r="I80" s="12">
        <v>6</v>
      </c>
      <c r="J80" s="12" t="s">
        <v>63</v>
      </c>
      <c r="K80" s="14" t="s">
        <v>381</v>
      </c>
      <c r="L80" s="13" t="s">
        <v>382</v>
      </c>
      <c r="M80" s="12" t="s">
        <v>22</v>
      </c>
      <c r="N80" s="12"/>
      <c r="O80" s="12" t="s">
        <v>23</v>
      </c>
      <c r="P80" s="12" t="s">
        <v>23</v>
      </c>
    </row>
    <row r="81" spans="2:16">
      <c r="B81" s="10" t="s">
        <v>210</v>
      </c>
      <c r="C81" s="12">
        <v>927</v>
      </c>
      <c r="D81" s="12" t="s">
        <v>65</v>
      </c>
      <c r="E81" s="12">
        <v>20.3</v>
      </c>
      <c r="F81" s="12">
        <v>45.62</v>
      </c>
      <c r="G81" s="12">
        <v>48.07</v>
      </c>
      <c r="H81" s="13"/>
      <c r="I81" s="12">
        <v>6</v>
      </c>
      <c r="J81" s="12" t="s">
        <v>71</v>
      </c>
      <c r="K81" s="14" t="s">
        <v>381</v>
      </c>
      <c r="L81" s="13" t="s">
        <v>382</v>
      </c>
      <c r="M81" s="12" t="s">
        <v>86</v>
      </c>
      <c r="N81" s="12"/>
      <c r="O81" s="12" t="s">
        <v>23</v>
      </c>
      <c r="P81" s="12" t="s">
        <v>23</v>
      </c>
    </row>
    <row r="82" spans="2:16">
      <c r="B82" s="10" t="s">
        <v>211</v>
      </c>
      <c r="C82" s="12">
        <v>770</v>
      </c>
      <c r="D82" s="12" t="s">
        <v>65</v>
      </c>
      <c r="E82" s="12">
        <v>13.5</v>
      </c>
      <c r="F82" s="12">
        <v>56.98</v>
      </c>
      <c r="G82" s="12">
        <v>50.95</v>
      </c>
      <c r="H82" s="13"/>
      <c r="I82" s="12">
        <v>6</v>
      </c>
      <c r="J82" s="12" t="s">
        <v>81</v>
      </c>
      <c r="K82" s="14" t="s">
        <v>381</v>
      </c>
      <c r="L82" s="13" t="s">
        <v>382</v>
      </c>
      <c r="M82" s="12" t="s">
        <v>26</v>
      </c>
      <c r="N82" s="12"/>
      <c r="O82" s="12" t="s">
        <v>23</v>
      </c>
      <c r="P82" s="12" t="s">
        <v>23</v>
      </c>
    </row>
    <row r="83" spans="2:16">
      <c r="B83" s="10" t="s">
        <v>212</v>
      </c>
      <c r="C83" s="12">
        <v>623</v>
      </c>
      <c r="D83" s="12" t="s">
        <v>65</v>
      </c>
      <c r="E83" s="12">
        <v>20</v>
      </c>
      <c r="F83" s="12">
        <v>31.14</v>
      </c>
      <c r="G83" s="12">
        <v>63.1</v>
      </c>
      <c r="H83" s="13"/>
      <c r="I83" s="12">
        <v>6</v>
      </c>
      <c r="J83" s="12" t="s">
        <v>81</v>
      </c>
      <c r="K83" s="14" t="s">
        <v>384</v>
      </c>
      <c r="L83" s="13" t="s">
        <v>385</v>
      </c>
      <c r="M83" s="12" t="s">
        <v>22</v>
      </c>
      <c r="N83" s="12"/>
      <c r="O83" s="12" t="s">
        <v>23</v>
      </c>
      <c r="P83" s="12" t="s">
        <v>23</v>
      </c>
    </row>
    <row r="84" spans="2:16">
      <c r="B84" s="10" t="s">
        <v>213</v>
      </c>
      <c r="C84" s="12">
        <v>750</v>
      </c>
      <c r="D84" s="12" t="s">
        <v>65</v>
      </c>
      <c r="E84" s="12">
        <v>13.5</v>
      </c>
      <c r="F84" s="12">
        <v>55.51</v>
      </c>
      <c r="G84" s="12">
        <v>63.15</v>
      </c>
      <c r="H84" s="13"/>
      <c r="I84" s="12">
        <v>6</v>
      </c>
      <c r="J84" s="12" t="s">
        <v>214</v>
      </c>
      <c r="K84" s="14" t="s">
        <v>381</v>
      </c>
      <c r="L84" s="13" t="s">
        <v>382</v>
      </c>
      <c r="M84" s="12" t="s">
        <v>67</v>
      </c>
      <c r="N84" s="12"/>
      <c r="O84" s="12" t="s">
        <v>23</v>
      </c>
      <c r="P84" s="12" t="s">
        <v>23</v>
      </c>
    </row>
    <row r="85" spans="2:16">
      <c r="B85" s="10" t="s">
        <v>215</v>
      </c>
      <c r="C85" s="12">
        <v>800</v>
      </c>
      <c r="D85" s="12" t="s">
        <v>65</v>
      </c>
      <c r="E85" s="12">
        <v>17.5</v>
      </c>
      <c r="F85" s="12">
        <v>45.62</v>
      </c>
      <c r="G85" s="12">
        <v>48.07</v>
      </c>
      <c r="H85" s="13"/>
      <c r="I85" s="12">
        <v>6</v>
      </c>
      <c r="J85" s="12" t="s">
        <v>79</v>
      </c>
      <c r="K85" s="14" t="s">
        <v>381</v>
      </c>
      <c r="L85" s="13" t="s">
        <v>382</v>
      </c>
      <c r="M85" s="12" t="s">
        <v>22</v>
      </c>
      <c r="N85" s="12"/>
      <c r="O85" s="12" t="s">
        <v>23</v>
      </c>
      <c r="P85" s="12" t="s">
        <v>23</v>
      </c>
    </row>
    <row r="86" spans="2:16">
      <c r="B86" s="10" t="s">
        <v>216</v>
      </c>
      <c r="C86" s="12">
        <v>740</v>
      </c>
      <c r="D86" s="12" t="s">
        <v>65</v>
      </c>
      <c r="E86" s="12">
        <v>17.600000000000001</v>
      </c>
      <c r="F86" s="12">
        <v>42.15</v>
      </c>
      <c r="G86" s="12">
        <v>63.1</v>
      </c>
      <c r="H86" s="13"/>
      <c r="I86" s="12">
        <v>6</v>
      </c>
      <c r="J86" s="12" t="s">
        <v>29</v>
      </c>
      <c r="K86" s="14" t="s">
        <v>381</v>
      </c>
      <c r="L86" s="13" t="s">
        <v>382</v>
      </c>
      <c r="M86" s="12" t="s">
        <v>45</v>
      </c>
      <c r="N86" s="12"/>
      <c r="O86" s="12" t="s">
        <v>23</v>
      </c>
      <c r="P86" s="12" t="s">
        <v>23</v>
      </c>
    </row>
    <row r="87" spans="2:16">
      <c r="B87" s="10" t="s">
        <v>217</v>
      </c>
      <c r="C87" s="15">
        <v>1090</v>
      </c>
      <c r="D87" s="12" t="s">
        <v>65</v>
      </c>
      <c r="E87" s="12">
        <v>25.2</v>
      </c>
      <c r="F87" s="12">
        <v>41.68</v>
      </c>
      <c r="G87" s="12">
        <v>58.27</v>
      </c>
      <c r="H87" s="13"/>
      <c r="I87" s="12">
        <v>1</v>
      </c>
      <c r="J87" s="12" t="s">
        <v>199</v>
      </c>
      <c r="K87" s="14" t="s">
        <v>381</v>
      </c>
      <c r="L87" s="13" t="s">
        <v>382</v>
      </c>
      <c r="M87" s="12" t="s">
        <v>26</v>
      </c>
      <c r="N87" s="12">
        <v>105</v>
      </c>
      <c r="O87" s="12" t="s">
        <v>23</v>
      </c>
      <c r="P87" s="12" t="s">
        <v>23</v>
      </c>
    </row>
    <row r="88" spans="2:16">
      <c r="B88" s="10" t="s">
        <v>218</v>
      </c>
      <c r="C88" s="15">
        <v>1038</v>
      </c>
      <c r="D88" s="12" t="s">
        <v>84</v>
      </c>
      <c r="E88" s="12">
        <v>24.8</v>
      </c>
      <c r="F88" s="12">
        <v>40.18</v>
      </c>
      <c r="G88" s="12">
        <v>59.6</v>
      </c>
      <c r="H88" s="13"/>
      <c r="I88" s="12">
        <v>1</v>
      </c>
      <c r="J88" s="12" t="s">
        <v>126</v>
      </c>
      <c r="K88" s="14" t="s">
        <v>381</v>
      </c>
      <c r="L88" s="13" t="s">
        <v>382</v>
      </c>
      <c r="M88" s="12" t="s">
        <v>26</v>
      </c>
      <c r="N88" s="12">
        <v>105</v>
      </c>
      <c r="O88" s="12" t="s">
        <v>23</v>
      </c>
      <c r="P88" s="12" t="s">
        <v>23</v>
      </c>
    </row>
    <row r="89" spans="2:16">
      <c r="B89" s="10" t="s">
        <v>219</v>
      </c>
      <c r="C89" s="15">
        <v>1030</v>
      </c>
      <c r="D89" s="12" t="s">
        <v>84</v>
      </c>
      <c r="E89" s="12">
        <v>25.6</v>
      </c>
      <c r="F89" s="12">
        <v>40.840000000000003</v>
      </c>
      <c r="G89" s="12">
        <v>60.76</v>
      </c>
      <c r="H89" s="13"/>
      <c r="I89" s="12">
        <v>1</v>
      </c>
      <c r="J89" s="12" t="s">
        <v>220</v>
      </c>
      <c r="K89" s="14" t="s">
        <v>381</v>
      </c>
      <c r="L89" s="13" t="s">
        <v>382</v>
      </c>
      <c r="M89" s="12" t="s">
        <v>26</v>
      </c>
      <c r="N89" s="12">
        <v>90</v>
      </c>
      <c r="O89" s="12" t="s">
        <v>23</v>
      </c>
      <c r="P89" s="12" t="s">
        <v>23</v>
      </c>
    </row>
    <row r="90" spans="2:16">
      <c r="B90" s="10" t="s">
        <v>221</v>
      </c>
      <c r="C90" s="15">
        <v>1145</v>
      </c>
      <c r="D90" s="12" t="s">
        <v>222</v>
      </c>
      <c r="E90" s="12">
        <v>25.7</v>
      </c>
      <c r="F90" s="12">
        <v>49.48</v>
      </c>
      <c r="G90" s="12">
        <v>57.96</v>
      </c>
      <c r="H90" s="13"/>
      <c r="I90" s="12">
        <v>1</v>
      </c>
      <c r="J90" s="12" t="s">
        <v>185</v>
      </c>
      <c r="K90" s="14" t="s">
        <v>381</v>
      </c>
      <c r="L90" s="13" t="s">
        <v>382</v>
      </c>
      <c r="M90" s="12" t="s">
        <v>26</v>
      </c>
      <c r="N90" s="12">
        <v>150</v>
      </c>
      <c r="O90" s="12" t="s">
        <v>23</v>
      </c>
      <c r="P90" s="12" t="s">
        <v>23</v>
      </c>
    </row>
    <row r="91" spans="2:16">
      <c r="B91" s="10" t="s">
        <v>223</v>
      </c>
      <c r="C91" s="15">
        <v>1050</v>
      </c>
      <c r="D91" s="12" t="s">
        <v>222</v>
      </c>
      <c r="E91" s="12">
        <v>26.1</v>
      </c>
      <c r="F91" s="12">
        <v>40.840000000000003</v>
      </c>
      <c r="G91" s="12">
        <v>60.76</v>
      </c>
      <c r="H91" s="13"/>
      <c r="I91" s="12">
        <v>1</v>
      </c>
      <c r="J91" s="12" t="s">
        <v>194</v>
      </c>
      <c r="K91" s="14" t="s">
        <v>381</v>
      </c>
      <c r="L91" s="13" t="s">
        <v>382</v>
      </c>
      <c r="M91" s="12" t="s">
        <v>26</v>
      </c>
      <c r="N91" s="12">
        <v>90</v>
      </c>
      <c r="O91" s="12" t="s">
        <v>23</v>
      </c>
      <c r="P91" s="12" t="s">
        <v>23</v>
      </c>
    </row>
    <row r="92" spans="2:16">
      <c r="B92" s="10" t="s">
        <v>224</v>
      </c>
      <c r="C92" s="15">
        <v>1230</v>
      </c>
      <c r="D92" s="12" t="s">
        <v>222</v>
      </c>
      <c r="E92" s="12">
        <v>25.9</v>
      </c>
      <c r="F92" s="12">
        <v>52.49</v>
      </c>
      <c r="G92" s="12">
        <v>58.48</v>
      </c>
      <c r="H92" s="13"/>
      <c r="I92" s="12">
        <v>1</v>
      </c>
      <c r="J92" s="12" t="s">
        <v>185</v>
      </c>
      <c r="K92" s="14" t="s">
        <v>381</v>
      </c>
      <c r="L92" s="13" t="s">
        <v>382</v>
      </c>
      <c r="M92" s="12" t="s">
        <v>32</v>
      </c>
      <c r="N92" s="12">
        <v>150</v>
      </c>
      <c r="O92" s="12" t="s">
        <v>23</v>
      </c>
      <c r="P92" s="12" t="s">
        <v>23</v>
      </c>
    </row>
    <row r="93" spans="2:16">
      <c r="B93" s="10" t="s">
        <v>225</v>
      </c>
      <c r="C93" s="15">
        <v>1160</v>
      </c>
      <c r="D93" s="12" t="s">
        <v>222</v>
      </c>
      <c r="E93" s="12">
        <v>25.6</v>
      </c>
      <c r="F93" s="12">
        <v>49.91</v>
      </c>
      <c r="G93" s="12">
        <v>57.93</v>
      </c>
      <c r="H93" s="13"/>
      <c r="I93" s="12">
        <v>1</v>
      </c>
      <c r="J93" s="12" t="s">
        <v>226</v>
      </c>
      <c r="K93" s="14" t="s">
        <v>381</v>
      </c>
      <c r="L93" s="13" t="s">
        <v>382</v>
      </c>
      <c r="M93" s="12" t="s">
        <v>26</v>
      </c>
      <c r="N93" s="12">
        <v>160</v>
      </c>
      <c r="O93" s="12" t="s">
        <v>23</v>
      </c>
      <c r="P93" s="12" t="s">
        <v>23</v>
      </c>
    </row>
    <row r="94" spans="2:16">
      <c r="B94" s="10" t="s">
        <v>227</v>
      </c>
      <c r="C94" s="15">
        <v>1370</v>
      </c>
      <c r="D94" s="12" t="s">
        <v>88</v>
      </c>
      <c r="E94" s="12">
        <v>29</v>
      </c>
      <c r="F94" s="12">
        <v>52.49</v>
      </c>
      <c r="G94" s="12">
        <v>58.48</v>
      </c>
      <c r="H94" s="13"/>
      <c r="I94" s="12">
        <v>1</v>
      </c>
      <c r="J94" s="12" t="s">
        <v>135</v>
      </c>
      <c r="K94" s="14" t="s">
        <v>381</v>
      </c>
      <c r="L94" s="13" t="s">
        <v>382</v>
      </c>
      <c r="M94" s="12" t="s">
        <v>32</v>
      </c>
      <c r="N94" s="12">
        <v>160</v>
      </c>
      <c r="O94" s="12" t="s">
        <v>23</v>
      </c>
      <c r="P94" s="12" t="s">
        <v>23</v>
      </c>
    </row>
    <row r="95" spans="2:16">
      <c r="B95" s="10" t="s">
        <v>228</v>
      </c>
      <c r="C95" s="15">
        <v>1165</v>
      </c>
      <c r="D95" s="12" t="s">
        <v>88</v>
      </c>
      <c r="E95" s="12">
        <v>25.9</v>
      </c>
      <c r="F95" s="12">
        <v>49.92</v>
      </c>
      <c r="G95" s="12">
        <v>58.27</v>
      </c>
      <c r="H95" s="13"/>
      <c r="I95" s="12">
        <v>1</v>
      </c>
      <c r="J95" s="12" t="s">
        <v>226</v>
      </c>
      <c r="K95" s="14" t="s">
        <v>381</v>
      </c>
      <c r="L95" s="13" t="s">
        <v>382</v>
      </c>
      <c r="M95" s="12" t="s">
        <v>26</v>
      </c>
      <c r="N95" s="12">
        <v>150</v>
      </c>
      <c r="O95" s="12" t="s">
        <v>23</v>
      </c>
      <c r="P95" s="12" t="s">
        <v>23</v>
      </c>
    </row>
    <row r="96" spans="2:16">
      <c r="B96" s="10" t="s">
        <v>229</v>
      </c>
      <c r="C96" s="15">
        <v>1152</v>
      </c>
      <c r="D96" s="12" t="s">
        <v>88</v>
      </c>
      <c r="E96" s="12">
        <v>25.4</v>
      </c>
      <c r="F96" s="12">
        <v>49.91</v>
      </c>
      <c r="G96" s="12">
        <v>57.93</v>
      </c>
      <c r="H96" s="13"/>
      <c r="I96" s="12">
        <v>1</v>
      </c>
      <c r="J96" s="12" t="s">
        <v>230</v>
      </c>
      <c r="K96" s="14" t="s">
        <v>381</v>
      </c>
      <c r="L96" s="13" t="s">
        <v>382</v>
      </c>
      <c r="M96" s="12" t="s">
        <v>26</v>
      </c>
      <c r="N96" s="12">
        <v>160</v>
      </c>
      <c r="O96" s="12" t="s">
        <v>23</v>
      </c>
      <c r="P96" s="12" t="s">
        <v>23</v>
      </c>
    </row>
    <row r="97" spans="2:16">
      <c r="B97" s="10" t="s">
        <v>231</v>
      </c>
      <c r="C97" s="15">
        <v>1066</v>
      </c>
      <c r="D97" s="12" t="s">
        <v>88</v>
      </c>
      <c r="E97" s="12">
        <v>26.6</v>
      </c>
      <c r="F97" s="12">
        <v>40.840000000000003</v>
      </c>
      <c r="G97" s="12">
        <v>60.76</v>
      </c>
      <c r="H97" s="13"/>
      <c r="I97" s="12">
        <v>1</v>
      </c>
      <c r="J97" s="12" t="s">
        <v>190</v>
      </c>
      <c r="K97" s="14" t="s">
        <v>381</v>
      </c>
      <c r="L97" s="13" t="s">
        <v>382</v>
      </c>
      <c r="M97" s="12" t="s">
        <v>26</v>
      </c>
      <c r="N97" s="12">
        <v>90</v>
      </c>
      <c r="O97" s="12" t="s">
        <v>23</v>
      </c>
      <c r="P97" s="12" t="s">
        <v>23</v>
      </c>
    </row>
    <row r="98" spans="2:16">
      <c r="B98" s="10" t="s">
        <v>19</v>
      </c>
      <c r="C98" s="12">
        <v>630</v>
      </c>
      <c r="D98" s="12" t="s">
        <v>20</v>
      </c>
      <c r="E98" s="12">
        <v>13.8</v>
      </c>
      <c r="F98" s="12">
        <v>45.62</v>
      </c>
      <c r="G98" s="12">
        <v>63.36</v>
      </c>
      <c r="H98" s="13"/>
      <c r="I98" s="12">
        <v>6</v>
      </c>
      <c r="J98" s="12" t="s">
        <v>21</v>
      </c>
      <c r="K98" s="14" t="s">
        <v>381</v>
      </c>
      <c r="L98" s="13" t="s">
        <v>382</v>
      </c>
      <c r="M98" s="12" t="s">
        <v>22</v>
      </c>
      <c r="N98" s="12"/>
      <c r="O98" s="12" t="s">
        <v>23</v>
      </c>
      <c r="P98" s="12" t="s">
        <v>23</v>
      </c>
    </row>
    <row r="99" spans="2:16">
      <c r="B99" s="10" t="s">
        <v>24</v>
      </c>
      <c r="C99" s="16">
        <v>1068.8</v>
      </c>
      <c r="D99" s="12" t="s">
        <v>20</v>
      </c>
      <c r="E99" s="12">
        <v>19.600000000000001</v>
      </c>
      <c r="F99" s="12">
        <v>54.59</v>
      </c>
      <c r="G99" s="12">
        <v>62.78</v>
      </c>
      <c r="H99" s="13"/>
      <c r="I99" s="12">
        <v>6</v>
      </c>
      <c r="J99" s="12" t="s">
        <v>25</v>
      </c>
      <c r="K99" s="14" t="s">
        <v>381</v>
      </c>
      <c r="L99" s="13" t="s">
        <v>382</v>
      </c>
      <c r="M99" s="12" t="s">
        <v>26</v>
      </c>
      <c r="N99" s="12"/>
      <c r="O99" s="12" t="s">
        <v>23</v>
      </c>
      <c r="P99" s="12" t="s">
        <v>23</v>
      </c>
    </row>
    <row r="100" spans="2:16">
      <c r="B100" s="10" t="s">
        <v>27</v>
      </c>
      <c r="C100" s="12">
        <v>561</v>
      </c>
      <c r="D100" s="12" t="s">
        <v>28</v>
      </c>
      <c r="E100" s="12">
        <v>15.2</v>
      </c>
      <c r="F100" s="12">
        <v>42.15</v>
      </c>
      <c r="G100" s="12">
        <v>63.1</v>
      </c>
      <c r="H100" s="13"/>
      <c r="I100" s="12">
        <v>6</v>
      </c>
      <c r="J100" s="12" t="s">
        <v>29</v>
      </c>
      <c r="K100" s="14" t="s">
        <v>381</v>
      </c>
      <c r="L100" s="13" t="s">
        <v>382</v>
      </c>
      <c r="M100" s="12" t="s">
        <v>22</v>
      </c>
      <c r="N100" s="12">
        <v>87</v>
      </c>
      <c r="O100" s="12" t="s">
        <v>23</v>
      </c>
      <c r="P100" s="12" t="s">
        <v>23</v>
      </c>
    </row>
    <row r="101" spans="2:16">
      <c r="B101" s="10" t="s">
        <v>30</v>
      </c>
      <c r="C101" s="12">
        <v>840</v>
      </c>
      <c r="D101" s="12" t="s">
        <v>28</v>
      </c>
      <c r="E101" s="12">
        <v>14</v>
      </c>
      <c r="F101" s="12">
        <v>59.98</v>
      </c>
      <c r="G101" s="12">
        <v>63.21</v>
      </c>
      <c r="H101" s="13"/>
      <c r="I101" s="12">
        <v>6</v>
      </c>
      <c r="J101" s="12" t="s">
        <v>31</v>
      </c>
      <c r="K101" s="14" t="s">
        <v>381</v>
      </c>
      <c r="L101" s="13" t="s">
        <v>382</v>
      </c>
      <c r="M101" s="12" t="s">
        <v>32</v>
      </c>
      <c r="N101" s="12"/>
      <c r="O101" s="12" t="s">
        <v>23</v>
      </c>
      <c r="P101" s="12" t="s">
        <v>23</v>
      </c>
    </row>
    <row r="102" spans="2:16">
      <c r="B102" s="10" t="s">
        <v>33</v>
      </c>
      <c r="C102" s="15">
        <v>1055</v>
      </c>
      <c r="D102" s="12" t="s">
        <v>28</v>
      </c>
      <c r="E102" s="12">
        <v>23.5</v>
      </c>
      <c r="F102" s="12">
        <v>44.8</v>
      </c>
      <c r="G102" s="12">
        <v>58.25</v>
      </c>
      <c r="H102" s="13"/>
      <c r="I102" s="12">
        <v>6</v>
      </c>
      <c r="J102" s="12" t="s">
        <v>34</v>
      </c>
      <c r="K102" s="14" t="s">
        <v>381</v>
      </c>
      <c r="L102" s="13" t="s">
        <v>382</v>
      </c>
      <c r="M102" s="12" t="s">
        <v>22</v>
      </c>
      <c r="N102" s="12"/>
      <c r="O102" s="12" t="s">
        <v>23</v>
      </c>
      <c r="P102" s="12" t="s">
        <v>23</v>
      </c>
    </row>
    <row r="103" spans="2:16">
      <c r="B103" s="10" t="s">
        <v>35</v>
      </c>
      <c r="C103" s="12">
        <v>850</v>
      </c>
      <c r="D103" s="12" t="s">
        <v>28</v>
      </c>
      <c r="E103" s="12">
        <v>20.2</v>
      </c>
      <c r="F103" s="12">
        <v>42.15</v>
      </c>
      <c r="G103" s="12">
        <v>63.1</v>
      </c>
      <c r="H103" s="13"/>
      <c r="I103" s="12">
        <v>6</v>
      </c>
      <c r="J103" s="12" t="s">
        <v>36</v>
      </c>
      <c r="K103" s="14" t="s">
        <v>381</v>
      </c>
      <c r="L103" s="13" t="s">
        <v>382</v>
      </c>
      <c r="M103" s="12" t="s">
        <v>22</v>
      </c>
      <c r="N103" s="12"/>
      <c r="O103" s="12" t="s">
        <v>23</v>
      </c>
      <c r="P103" s="12" t="s">
        <v>23</v>
      </c>
    </row>
    <row r="104" spans="2:16">
      <c r="B104" s="10" t="s">
        <v>37</v>
      </c>
      <c r="C104" s="15">
        <v>1215</v>
      </c>
      <c r="D104" s="12" t="s">
        <v>28</v>
      </c>
      <c r="E104" s="12">
        <v>23.2</v>
      </c>
      <c r="F104" s="12">
        <v>56.98</v>
      </c>
      <c r="G104" s="12">
        <v>63.15</v>
      </c>
      <c r="H104" s="13"/>
      <c r="I104" s="12">
        <v>6</v>
      </c>
      <c r="J104" s="12" t="s">
        <v>38</v>
      </c>
      <c r="K104" s="14" t="s">
        <v>381</v>
      </c>
      <c r="L104" s="13" t="s">
        <v>382</v>
      </c>
      <c r="M104" s="12" t="s">
        <v>32</v>
      </c>
      <c r="N104" s="12">
        <v>150</v>
      </c>
      <c r="O104" s="12" t="s">
        <v>23</v>
      </c>
      <c r="P104" s="12" t="s">
        <v>23</v>
      </c>
    </row>
    <row r="105" spans="2:16">
      <c r="B105" s="10" t="s">
        <v>39</v>
      </c>
      <c r="C105" s="12">
        <v>550</v>
      </c>
      <c r="D105" s="12" t="s">
        <v>28</v>
      </c>
      <c r="E105" s="12">
        <v>13.5</v>
      </c>
      <c r="F105" s="12">
        <v>40.67</v>
      </c>
      <c r="G105" s="12">
        <v>48.31</v>
      </c>
      <c r="H105" s="13"/>
      <c r="I105" s="12">
        <v>6</v>
      </c>
      <c r="J105" s="12" t="s">
        <v>40</v>
      </c>
      <c r="K105" s="14" t="s">
        <v>381</v>
      </c>
      <c r="L105" s="13" t="s">
        <v>382</v>
      </c>
      <c r="M105" s="12" t="s">
        <v>22</v>
      </c>
      <c r="N105" s="12"/>
      <c r="O105" s="12" t="s">
        <v>23</v>
      </c>
      <c r="P105" s="12" t="s">
        <v>23</v>
      </c>
    </row>
    <row r="106" spans="2:16">
      <c r="B106" s="10" t="s">
        <v>41</v>
      </c>
      <c r="C106" s="12">
        <v>895</v>
      </c>
      <c r="D106" s="12" t="s">
        <v>28</v>
      </c>
      <c r="E106" s="12">
        <v>21.2</v>
      </c>
      <c r="F106" s="12">
        <v>42.15</v>
      </c>
      <c r="G106" s="12">
        <v>46.62</v>
      </c>
      <c r="H106" s="13"/>
      <c r="I106" s="12">
        <v>6</v>
      </c>
      <c r="J106" s="12" t="s">
        <v>42</v>
      </c>
      <c r="K106" s="14" t="s">
        <v>381</v>
      </c>
      <c r="L106" s="13" t="s">
        <v>382</v>
      </c>
      <c r="M106" s="12" t="s">
        <v>22</v>
      </c>
      <c r="N106" s="12"/>
      <c r="O106" s="12" t="s">
        <v>23</v>
      </c>
      <c r="P106" s="12" t="s">
        <v>23</v>
      </c>
    </row>
    <row r="107" spans="2:16">
      <c r="B107" s="10" t="s">
        <v>43</v>
      </c>
      <c r="C107" s="12">
        <v>998</v>
      </c>
      <c r="D107" s="12" t="s">
        <v>28</v>
      </c>
      <c r="E107" s="12">
        <v>21.9</v>
      </c>
      <c r="F107" s="12">
        <v>45.62</v>
      </c>
      <c r="G107" s="12">
        <v>48.07</v>
      </c>
      <c r="H107" s="13"/>
      <c r="I107" s="12">
        <v>6</v>
      </c>
      <c r="J107" s="12" t="s">
        <v>29</v>
      </c>
      <c r="K107" s="14" t="s">
        <v>381</v>
      </c>
      <c r="L107" s="13" t="s">
        <v>382</v>
      </c>
      <c r="M107" s="12" t="s">
        <v>22</v>
      </c>
      <c r="N107" s="12"/>
      <c r="O107" s="12" t="s">
        <v>23</v>
      </c>
      <c r="P107" s="12" t="s">
        <v>23</v>
      </c>
    </row>
    <row r="108" spans="2:16">
      <c r="B108" s="10" t="s">
        <v>44</v>
      </c>
      <c r="C108" s="12">
        <v>634</v>
      </c>
      <c r="D108" s="12" t="s">
        <v>28</v>
      </c>
      <c r="E108" s="12">
        <v>15.6</v>
      </c>
      <c r="F108" s="12">
        <v>40.67</v>
      </c>
      <c r="G108" s="12">
        <v>63.1</v>
      </c>
      <c r="H108" s="13"/>
      <c r="I108" s="12">
        <v>6</v>
      </c>
      <c r="J108" s="12" t="s">
        <v>38</v>
      </c>
      <c r="K108" s="14" t="s">
        <v>381</v>
      </c>
      <c r="L108" s="13" t="s">
        <v>382</v>
      </c>
      <c r="M108" s="12" t="s">
        <v>45</v>
      </c>
      <c r="N108" s="12"/>
      <c r="O108" s="12" t="s">
        <v>23</v>
      </c>
      <c r="P108" s="12" t="s">
        <v>23</v>
      </c>
    </row>
    <row r="109" spans="2:16">
      <c r="B109" s="10" t="s">
        <v>46</v>
      </c>
      <c r="C109" s="12">
        <v>919</v>
      </c>
      <c r="D109" s="12" t="s">
        <v>28</v>
      </c>
      <c r="E109" s="12">
        <v>16.8</v>
      </c>
      <c r="F109" s="12">
        <v>54.59</v>
      </c>
      <c r="G109" s="12">
        <v>62.78</v>
      </c>
      <c r="H109" s="13"/>
      <c r="I109" s="12">
        <v>6</v>
      </c>
      <c r="J109" s="12" t="s">
        <v>47</v>
      </c>
      <c r="K109" s="14" t="s">
        <v>381</v>
      </c>
      <c r="L109" s="13" t="s">
        <v>382</v>
      </c>
      <c r="M109" s="12" t="s">
        <v>26</v>
      </c>
      <c r="N109" s="12"/>
      <c r="O109" s="12" t="s">
        <v>23</v>
      </c>
      <c r="P109" s="12" t="s">
        <v>23</v>
      </c>
    </row>
    <row r="110" spans="2:16">
      <c r="B110" s="10" t="s">
        <v>48</v>
      </c>
      <c r="C110" s="12">
        <v>900</v>
      </c>
      <c r="D110" s="12" t="s">
        <v>28</v>
      </c>
      <c r="E110" s="12">
        <v>16.3</v>
      </c>
      <c r="F110" s="12">
        <v>58.51</v>
      </c>
      <c r="G110" s="12">
        <v>63.21</v>
      </c>
      <c r="H110" s="13"/>
      <c r="I110" s="12">
        <v>6</v>
      </c>
      <c r="J110" s="12" t="s">
        <v>49</v>
      </c>
      <c r="K110" s="14" t="s">
        <v>381</v>
      </c>
      <c r="L110" s="13" t="s">
        <v>382</v>
      </c>
      <c r="M110" s="12" t="s">
        <v>32</v>
      </c>
      <c r="N110" s="12">
        <v>100</v>
      </c>
      <c r="O110" s="12" t="s">
        <v>23</v>
      </c>
      <c r="P110" s="12" t="s">
        <v>23</v>
      </c>
    </row>
    <row r="111" spans="2:16">
      <c r="B111" s="10" t="s">
        <v>50</v>
      </c>
      <c r="C111" s="12">
        <v>968</v>
      </c>
      <c r="D111" s="12" t="s">
        <v>28</v>
      </c>
      <c r="E111" s="12">
        <v>21.2</v>
      </c>
      <c r="F111" s="12">
        <v>45.62</v>
      </c>
      <c r="G111" s="12">
        <v>63.36</v>
      </c>
      <c r="H111" s="13"/>
      <c r="I111" s="12">
        <v>6</v>
      </c>
      <c r="J111" s="12" t="s">
        <v>51</v>
      </c>
      <c r="K111" s="14" t="s">
        <v>381</v>
      </c>
      <c r="L111" s="13" t="s">
        <v>382</v>
      </c>
      <c r="M111" s="12" t="s">
        <v>26</v>
      </c>
      <c r="N111" s="12"/>
      <c r="O111" s="12" t="s">
        <v>23</v>
      </c>
      <c r="P111" s="12" t="s">
        <v>23</v>
      </c>
    </row>
    <row r="112" spans="2:16">
      <c r="B112" s="10" t="s">
        <v>52</v>
      </c>
      <c r="C112" s="12">
        <v>900</v>
      </c>
      <c r="D112" s="12" t="s">
        <v>28</v>
      </c>
      <c r="E112" s="12">
        <v>12.7</v>
      </c>
      <c r="F112" s="12">
        <v>70.989999999999995</v>
      </c>
      <c r="G112" s="12">
        <v>43.61</v>
      </c>
      <c r="H112" s="13"/>
      <c r="I112" s="12">
        <v>6</v>
      </c>
      <c r="J112" s="12" t="s">
        <v>53</v>
      </c>
      <c r="K112" s="14" t="s">
        <v>381</v>
      </c>
      <c r="L112" s="13" t="s">
        <v>383</v>
      </c>
      <c r="M112" s="12" t="s">
        <v>26</v>
      </c>
      <c r="N112" s="12"/>
      <c r="O112" s="12" t="s">
        <v>23</v>
      </c>
      <c r="P112" s="12" t="s">
        <v>23</v>
      </c>
    </row>
    <row r="113" spans="2:16">
      <c r="B113" s="10" t="s">
        <v>54</v>
      </c>
      <c r="C113" s="12">
        <v>550</v>
      </c>
      <c r="D113" s="12" t="s">
        <v>28</v>
      </c>
      <c r="E113" s="12">
        <v>13</v>
      </c>
      <c r="F113" s="12">
        <v>42.15</v>
      </c>
      <c r="G113" s="12">
        <v>63.1</v>
      </c>
      <c r="H113" s="13"/>
      <c r="I113" s="12">
        <v>6</v>
      </c>
      <c r="J113" s="12" t="s">
        <v>47</v>
      </c>
      <c r="K113" s="14" t="s">
        <v>381</v>
      </c>
      <c r="L113" s="13" t="s">
        <v>382</v>
      </c>
      <c r="M113" s="12" t="s">
        <v>22</v>
      </c>
      <c r="N113" s="12"/>
      <c r="O113" s="12" t="s">
        <v>23</v>
      </c>
      <c r="P113" s="12" t="s">
        <v>23</v>
      </c>
    </row>
    <row r="114" spans="2:16">
      <c r="B114" s="10" t="s">
        <v>55</v>
      </c>
      <c r="C114" s="15">
        <v>1215</v>
      </c>
      <c r="D114" s="12" t="s">
        <v>28</v>
      </c>
      <c r="E114" s="12">
        <v>20.3</v>
      </c>
      <c r="F114" s="12">
        <v>59.98</v>
      </c>
      <c r="G114" s="12">
        <v>63.21</v>
      </c>
      <c r="H114" s="13"/>
      <c r="I114" s="12">
        <v>6</v>
      </c>
      <c r="J114" s="12" t="s">
        <v>56</v>
      </c>
      <c r="K114" s="14" t="s">
        <v>381</v>
      </c>
      <c r="L114" s="13" t="s">
        <v>382</v>
      </c>
      <c r="M114" s="12" t="s">
        <v>32</v>
      </c>
      <c r="N114" s="12"/>
      <c r="O114" s="12" t="s">
        <v>23</v>
      </c>
      <c r="P114" s="12" t="s">
        <v>23</v>
      </c>
    </row>
    <row r="115" spans="2:16">
      <c r="B115" s="10" t="s">
        <v>57</v>
      </c>
      <c r="C115" s="12">
        <v>909</v>
      </c>
      <c r="D115" s="12" t="s">
        <v>28</v>
      </c>
      <c r="E115" s="12">
        <v>13.1</v>
      </c>
      <c r="F115" s="12">
        <v>69.510000000000005</v>
      </c>
      <c r="G115" s="12">
        <v>44.53</v>
      </c>
      <c r="H115" s="13"/>
      <c r="I115" s="12">
        <v>6</v>
      </c>
      <c r="J115" s="12" t="s">
        <v>58</v>
      </c>
      <c r="K115" s="14" t="s">
        <v>381</v>
      </c>
      <c r="L115" s="13" t="s">
        <v>383</v>
      </c>
      <c r="M115" s="12" t="s">
        <v>32</v>
      </c>
      <c r="N115" s="12">
        <v>175</v>
      </c>
      <c r="O115" s="12" t="s">
        <v>23</v>
      </c>
      <c r="P115" s="12" t="s">
        <v>23</v>
      </c>
    </row>
    <row r="116" spans="2:16">
      <c r="B116" s="10" t="s">
        <v>59</v>
      </c>
      <c r="C116" s="15">
        <v>1110</v>
      </c>
      <c r="D116" s="12" t="s">
        <v>28</v>
      </c>
      <c r="E116" s="12">
        <v>19.600000000000001</v>
      </c>
      <c r="F116" s="12">
        <v>58.51</v>
      </c>
      <c r="G116" s="12">
        <v>63.21</v>
      </c>
      <c r="H116" s="13"/>
      <c r="I116" s="12">
        <v>6</v>
      </c>
      <c r="J116" s="12" t="s">
        <v>40</v>
      </c>
      <c r="K116" s="14" t="s">
        <v>381</v>
      </c>
      <c r="L116" s="13" t="s">
        <v>382</v>
      </c>
      <c r="M116" s="12" t="s">
        <v>32</v>
      </c>
      <c r="N116" s="12">
        <v>150</v>
      </c>
      <c r="O116" s="12" t="s">
        <v>23</v>
      </c>
      <c r="P116" s="12" t="s">
        <v>23</v>
      </c>
    </row>
    <row r="117" spans="2:16">
      <c r="B117" s="10" t="s">
        <v>60</v>
      </c>
      <c r="C117" s="12">
        <v>840</v>
      </c>
      <c r="D117" s="12" t="s">
        <v>28</v>
      </c>
      <c r="E117" s="12">
        <v>14</v>
      </c>
      <c r="F117" s="12">
        <v>59.98</v>
      </c>
      <c r="G117" s="12">
        <v>63.21</v>
      </c>
      <c r="H117" s="13"/>
      <c r="I117" s="12">
        <v>6</v>
      </c>
      <c r="J117" s="12" t="s">
        <v>49</v>
      </c>
      <c r="K117" s="14" t="s">
        <v>381</v>
      </c>
      <c r="L117" s="13" t="s">
        <v>382</v>
      </c>
      <c r="M117" s="12" t="s">
        <v>61</v>
      </c>
      <c r="N117" s="12"/>
      <c r="O117" s="12" t="s">
        <v>23</v>
      </c>
      <c r="P117" s="12" t="s">
        <v>23</v>
      </c>
    </row>
    <row r="118" spans="2:16">
      <c r="B118" s="10" t="s">
        <v>62</v>
      </c>
      <c r="C118" s="12">
        <v>900</v>
      </c>
      <c r="D118" s="12" t="s">
        <v>28</v>
      </c>
      <c r="E118" s="12">
        <v>15</v>
      </c>
      <c r="F118" s="12">
        <v>59.98</v>
      </c>
      <c r="G118" s="12">
        <v>51.61</v>
      </c>
      <c r="H118" s="13"/>
      <c r="I118" s="12">
        <v>6</v>
      </c>
      <c r="J118" s="12" t="s">
        <v>63</v>
      </c>
      <c r="K118" s="14" t="s">
        <v>381</v>
      </c>
      <c r="L118" s="13" t="s">
        <v>382</v>
      </c>
      <c r="M118" s="12" t="s">
        <v>32</v>
      </c>
      <c r="N118" s="12"/>
      <c r="O118" s="12" t="s">
        <v>23</v>
      </c>
      <c r="P118" s="12" t="s">
        <v>23</v>
      </c>
    </row>
    <row r="119" spans="2:16">
      <c r="B119" s="10" t="s">
        <v>64</v>
      </c>
      <c r="C119" s="12">
        <v>753</v>
      </c>
      <c r="D119" s="12" t="s">
        <v>65</v>
      </c>
      <c r="E119" s="12">
        <v>13.8</v>
      </c>
      <c r="F119" s="12">
        <v>54.59</v>
      </c>
      <c r="G119" s="12">
        <v>50.12</v>
      </c>
      <c r="H119" s="13"/>
      <c r="I119" s="12">
        <v>6</v>
      </c>
      <c r="J119" s="12" t="s">
        <v>63</v>
      </c>
      <c r="K119" s="14" t="s">
        <v>381</v>
      </c>
      <c r="L119" s="13" t="s">
        <v>382</v>
      </c>
      <c r="M119" s="12" t="s">
        <v>26</v>
      </c>
      <c r="N119" s="12"/>
      <c r="O119" s="12" t="s">
        <v>23</v>
      </c>
      <c r="P119" s="12" t="s">
        <v>23</v>
      </c>
    </row>
    <row r="120" spans="2:16">
      <c r="B120" s="10" t="s">
        <v>66</v>
      </c>
      <c r="C120" s="15">
        <v>1000</v>
      </c>
      <c r="D120" s="12" t="s">
        <v>65</v>
      </c>
      <c r="E120" s="12">
        <v>16.7</v>
      </c>
      <c r="F120" s="12">
        <v>59.98</v>
      </c>
      <c r="G120" s="12">
        <v>63.21</v>
      </c>
      <c r="H120" s="13"/>
      <c r="I120" s="12">
        <v>6</v>
      </c>
      <c r="J120" s="12" t="s">
        <v>25</v>
      </c>
      <c r="K120" s="14" t="s">
        <v>381</v>
      </c>
      <c r="L120" s="13" t="s">
        <v>382</v>
      </c>
      <c r="M120" s="12" t="s">
        <v>67</v>
      </c>
      <c r="N120" s="12"/>
      <c r="O120" s="12" t="s">
        <v>23</v>
      </c>
      <c r="P120" s="12" t="s">
        <v>23</v>
      </c>
    </row>
    <row r="121" spans="2:16">
      <c r="B121" s="10" t="s">
        <v>68</v>
      </c>
      <c r="C121" s="12">
        <v>850</v>
      </c>
      <c r="D121" s="12" t="s">
        <v>65</v>
      </c>
      <c r="E121" s="12">
        <v>20.2</v>
      </c>
      <c r="F121" s="12">
        <v>42.15</v>
      </c>
      <c r="G121" s="12">
        <v>63.1</v>
      </c>
      <c r="H121" s="13"/>
      <c r="I121" s="12">
        <v>6</v>
      </c>
      <c r="J121" s="12" t="s">
        <v>69</v>
      </c>
      <c r="K121" s="14" t="s">
        <v>381</v>
      </c>
      <c r="L121" s="13" t="s">
        <v>382</v>
      </c>
      <c r="M121" s="12" t="s">
        <v>22</v>
      </c>
      <c r="N121" s="12"/>
      <c r="O121" s="12" t="s">
        <v>23</v>
      </c>
      <c r="P121" s="12" t="s">
        <v>23</v>
      </c>
    </row>
    <row r="122" spans="2:16">
      <c r="B122" s="10" t="s">
        <v>70</v>
      </c>
      <c r="C122" s="12">
        <v>740</v>
      </c>
      <c r="D122" s="12" t="s">
        <v>65</v>
      </c>
      <c r="E122" s="12">
        <v>13.6</v>
      </c>
      <c r="F122" s="12">
        <v>54.59</v>
      </c>
      <c r="G122" s="12">
        <v>50.12</v>
      </c>
      <c r="H122" s="13"/>
      <c r="I122" s="12">
        <v>6</v>
      </c>
      <c r="J122" s="12" t="s">
        <v>71</v>
      </c>
      <c r="K122" s="14" t="s">
        <v>381</v>
      </c>
      <c r="L122" s="13" t="s">
        <v>382</v>
      </c>
      <c r="M122" s="12" t="s">
        <v>26</v>
      </c>
      <c r="N122" s="12"/>
      <c r="O122" s="12" t="s">
        <v>23</v>
      </c>
      <c r="P122" s="12" t="s">
        <v>23</v>
      </c>
    </row>
    <row r="123" spans="2:16">
      <c r="B123" s="10" t="s">
        <v>72</v>
      </c>
      <c r="C123" s="12">
        <v>570</v>
      </c>
      <c r="D123" s="12" t="s">
        <v>65</v>
      </c>
      <c r="E123" s="12">
        <v>13.5</v>
      </c>
      <c r="F123" s="12">
        <v>42.15</v>
      </c>
      <c r="G123" s="12">
        <v>63.1</v>
      </c>
      <c r="H123" s="13"/>
      <c r="I123" s="12">
        <v>6</v>
      </c>
      <c r="J123" s="12" t="s">
        <v>73</v>
      </c>
      <c r="K123" s="14" t="s">
        <v>381</v>
      </c>
      <c r="L123" s="13" t="s">
        <v>382</v>
      </c>
      <c r="M123" s="12" t="s">
        <v>45</v>
      </c>
      <c r="N123" s="12"/>
      <c r="O123" s="12" t="s">
        <v>23</v>
      </c>
      <c r="P123" s="12" t="s">
        <v>23</v>
      </c>
    </row>
    <row r="124" spans="2:16">
      <c r="B124" s="10" t="s">
        <v>74</v>
      </c>
      <c r="C124" s="15">
        <v>1280</v>
      </c>
      <c r="D124" s="12" t="s">
        <v>65</v>
      </c>
      <c r="E124" s="12">
        <v>18</v>
      </c>
      <c r="F124" s="12">
        <v>70.989999999999995</v>
      </c>
      <c r="G124" s="12">
        <v>63.21</v>
      </c>
      <c r="H124" s="13"/>
      <c r="I124" s="12">
        <v>6</v>
      </c>
      <c r="J124" s="12" t="s">
        <v>63</v>
      </c>
      <c r="K124" s="14" t="s">
        <v>381</v>
      </c>
      <c r="L124" s="13" t="s">
        <v>383</v>
      </c>
      <c r="M124" s="12" t="s">
        <v>32</v>
      </c>
      <c r="N124" s="12"/>
      <c r="O124" s="12" t="s">
        <v>23</v>
      </c>
      <c r="P124" s="12" t="s">
        <v>23</v>
      </c>
    </row>
    <row r="125" spans="2:16">
      <c r="B125" s="10" t="s">
        <v>75</v>
      </c>
      <c r="C125" s="12">
        <v>820</v>
      </c>
      <c r="D125" s="12" t="s">
        <v>65</v>
      </c>
      <c r="E125" s="12">
        <v>18</v>
      </c>
      <c r="F125" s="12">
        <v>45.62</v>
      </c>
      <c r="G125" s="12">
        <v>63.36</v>
      </c>
      <c r="H125" s="13"/>
      <c r="I125" s="12">
        <v>6</v>
      </c>
      <c r="J125" s="12" t="s">
        <v>53</v>
      </c>
      <c r="K125" s="14" t="s">
        <v>381</v>
      </c>
      <c r="L125" s="13" t="s">
        <v>382</v>
      </c>
      <c r="M125" s="12" t="s">
        <v>22</v>
      </c>
      <c r="N125" s="12"/>
      <c r="O125" s="12" t="s">
        <v>23</v>
      </c>
      <c r="P125" s="12" t="s">
        <v>23</v>
      </c>
    </row>
    <row r="126" spans="2:16">
      <c r="B126" s="10" t="s">
        <v>76</v>
      </c>
      <c r="C126" s="12">
        <v>830</v>
      </c>
      <c r="D126" s="12" t="s">
        <v>65</v>
      </c>
      <c r="E126" s="12">
        <v>13.2</v>
      </c>
      <c r="F126" s="12">
        <v>62.64</v>
      </c>
      <c r="G126" s="12">
        <v>62.78</v>
      </c>
      <c r="H126" s="13"/>
      <c r="I126" s="12">
        <v>6</v>
      </c>
      <c r="J126" s="12" t="s">
        <v>58</v>
      </c>
      <c r="K126" s="14" t="s">
        <v>381</v>
      </c>
      <c r="L126" s="13" t="s">
        <v>383</v>
      </c>
      <c r="M126" s="12" t="s">
        <v>26</v>
      </c>
      <c r="N126" s="12"/>
      <c r="O126" s="12" t="s">
        <v>23</v>
      </c>
      <c r="P126" s="12" t="s">
        <v>23</v>
      </c>
    </row>
    <row r="127" spans="2:16">
      <c r="B127" s="10" t="s">
        <v>77</v>
      </c>
      <c r="C127" s="15">
        <v>1088</v>
      </c>
      <c r="D127" s="12" t="s">
        <v>65</v>
      </c>
      <c r="E127" s="12">
        <v>19.899999999999999</v>
      </c>
      <c r="F127" s="12">
        <v>54.59</v>
      </c>
      <c r="G127" s="12">
        <v>62.78</v>
      </c>
      <c r="H127" s="13"/>
      <c r="I127" s="12">
        <v>6</v>
      </c>
      <c r="J127" s="12" t="s">
        <v>69</v>
      </c>
      <c r="K127" s="14" t="s">
        <v>381</v>
      </c>
      <c r="L127" s="13" t="s">
        <v>382</v>
      </c>
      <c r="M127" s="12" t="s">
        <v>26</v>
      </c>
      <c r="N127" s="12"/>
      <c r="O127" s="12" t="s">
        <v>23</v>
      </c>
      <c r="P127" s="12" t="s">
        <v>23</v>
      </c>
    </row>
    <row r="128" spans="2:16">
      <c r="B128" s="10" t="s">
        <v>78</v>
      </c>
      <c r="C128" s="12">
        <v>990</v>
      </c>
      <c r="D128" s="12" t="s">
        <v>65</v>
      </c>
      <c r="E128" s="12">
        <v>16.5</v>
      </c>
      <c r="F128" s="12">
        <v>59.98</v>
      </c>
      <c r="G128" s="12">
        <v>63.21</v>
      </c>
      <c r="H128" s="13"/>
      <c r="I128" s="12">
        <v>6</v>
      </c>
      <c r="J128" s="12" t="s">
        <v>79</v>
      </c>
      <c r="K128" s="14" t="s">
        <v>381</v>
      </c>
      <c r="L128" s="13" t="s">
        <v>382</v>
      </c>
      <c r="M128" s="12" t="s">
        <v>32</v>
      </c>
      <c r="N128" s="12"/>
      <c r="O128" s="12" t="s">
        <v>23</v>
      </c>
      <c r="P128" s="12" t="s">
        <v>23</v>
      </c>
    </row>
    <row r="129" spans="2:16">
      <c r="B129" s="10" t="s">
        <v>80</v>
      </c>
      <c r="C129" s="12">
        <v>900</v>
      </c>
      <c r="D129" s="12" t="s">
        <v>65</v>
      </c>
      <c r="E129" s="12">
        <v>19.7</v>
      </c>
      <c r="F129" s="12">
        <v>45.62</v>
      </c>
      <c r="G129" s="12">
        <v>63.36</v>
      </c>
      <c r="H129" s="13"/>
      <c r="I129" s="12">
        <v>6</v>
      </c>
      <c r="J129" s="12" t="s">
        <v>81</v>
      </c>
      <c r="K129" s="14" t="s">
        <v>381</v>
      </c>
      <c r="L129" s="13" t="s">
        <v>382</v>
      </c>
      <c r="M129" s="12" t="s">
        <v>22</v>
      </c>
      <c r="N129" s="12"/>
      <c r="O129" s="12" t="s">
        <v>23</v>
      </c>
      <c r="P129" s="12" t="s">
        <v>23</v>
      </c>
    </row>
    <row r="130" spans="2:16">
      <c r="B130" s="10" t="s">
        <v>82</v>
      </c>
      <c r="C130" s="12">
        <v>780</v>
      </c>
      <c r="D130" s="12" t="s">
        <v>65</v>
      </c>
      <c r="E130" s="12">
        <v>13.7</v>
      </c>
      <c r="F130" s="12">
        <v>56.98</v>
      </c>
      <c r="G130" s="12">
        <v>50.95</v>
      </c>
      <c r="H130" s="13"/>
      <c r="I130" s="12">
        <v>6</v>
      </c>
      <c r="J130" s="12" t="s">
        <v>42</v>
      </c>
      <c r="K130" s="14" t="s">
        <v>381</v>
      </c>
      <c r="L130" s="13" t="s">
        <v>382</v>
      </c>
      <c r="M130" s="12" t="s">
        <v>67</v>
      </c>
      <c r="N130" s="12"/>
      <c r="O130" s="12" t="s">
        <v>23</v>
      </c>
      <c r="P130" s="12" t="s">
        <v>23</v>
      </c>
    </row>
    <row r="131" spans="2:16">
      <c r="B131" s="10" t="s">
        <v>83</v>
      </c>
      <c r="C131" s="12">
        <v>845</v>
      </c>
      <c r="D131" s="12" t="s">
        <v>84</v>
      </c>
      <c r="E131" s="12">
        <v>19.100000000000001</v>
      </c>
      <c r="F131" s="12">
        <v>44.14</v>
      </c>
      <c r="G131" s="12">
        <v>49.68</v>
      </c>
      <c r="H131" s="13"/>
      <c r="I131" s="12">
        <v>6</v>
      </c>
      <c r="J131" s="12" t="s">
        <v>85</v>
      </c>
      <c r="K131" s="14" t="s">
        <v>381</v>
      </c>
      <c r="L131" s="13" t="s">
        <v>382</v>
      </c>
      <c r="M131" s="12" t="s">
        <v>86</v>
      </c>
      <c r="N131" s="12">
        <v>100</v>
      </c>
      <c r="O131" s="12" t="s">
        <v>23</v>
      </c>
      <c r="P131" s="12" t="s">
        <v>23</v>
      </c>
    </row>
    <row r="132" spans="2:16">
      <c r="B132" s="10" t="s">
        <v>87</v>
      </c>
      <c r="C132" s="15">
        <v>1660</v>
      </c>
      <c r="D132" s="12" t="s">
        <v>88</v>
      </c>
      <c r="E132" s="12">
        <v>55.3</v>
      </c>
      <c r="F132" s="12">
        <v>30.04</v>
      </c>
      <c r="G132" s="12">
        <v>69.95</v>
      </c>
      <c r="H132" s="13"/>
      <c r="I132" s="12">
        <v>6</v>
      </c>
      <c r="J132" s="12" t="s">
        <v>89</v>
      </c>
      <c r="K132" s="14" t="s">
        <v>384</v>
      </c>
      <c r="L132" s="13" t="s">
        <v>385</v>
      </c>
      <c r="M132" s="12"/>
      <c r="N132" s="12"/>
      <c r="O132" s="12" t="s">
        <v>23</v>
      </c>
      <c r="P132" s="12" t="s">
        <v>23</v>
      </c>
    </row>
  </sheetData>
  <mergeCells count="11">
    <mergeCell ref="J4:J5"/>
    <mergeCell ref="B4:B5"/>
    <mergeCell ref="C4:C5"/>
    <mergeCell ref="D4:D5"/>
    <mergeCell ref="H4:H5"/>
    <mergeCell ref="I4:I5"/>
    <mergeCell ref="K4:K5"/>
    <mergeCell ref="L4:L5"/>
    <mergeCell ref="M4:M5"/>
    <mergeCell ref="O4:O5"/>
    <mergeCell ref="P4:P5"/>
  </mergeCells>
  <phoneticPr fontId="1" type="noConversion"/>
  <hyperlinks>
    <hyperlink ref="B6" r:id="rId1" location="row_0" display="https://lvr.land.moi.gov.tw/jsp/list.jsp - row_0" xr:uid="{2ED035BD-65FA-8C4A-B22C-4D0D7D15F562}"/>
    <hyperlink ref="B7" r:id="rId2" location="row_1" display="https://lvr.land.moi.gov.tw/jsp/list.jsp - row_1" xr:uid="{37B3F8C6-E26C-C941-B390-A36E04159502}"/>
    <hyperlink ref="B8" r:id="rId3" location="row_2" display="https://lvr.land.moi.gov.tw/jsp/list.jsp - row_2" xr:uid="{40E3FB16-BC03-CE4C-A698-F2DA1FA8AE41}"/>
    <hyperlink ref="B9" r:id="rId4" location="row_3" display="https://lvr.land.moi.gov.tw/jsp/list.jsp - row_3" xr:uid="{0ED85FB3-CD6D-F54A-B2DB-2E0C0777E85B}"/>
    <hyperlink ref="B10" r:id="rId5" location="row_4" display="https://lvr.land.moi.gov.tw/jsp/list.jsp - row_4" xr:uid="{D3B21FF9-04D0-E541-ACE9-43D125E456B7}"/>
    <hyperlink ref="B11" r:id="rId6" location="row_5" display="https://lvr.land.moi.gov.tw/jsp/list.jsp - row_5" xr:uid="{3C27812A-E883-A246-8457-656D751B365E}"/>
    <hyperlink ref="B12" r:id="rId7" location="row_6" display="https://lvr.land.moi.gov.tw/jsp/list.jsp - row_6" xr:uid="{D07E180C-484F-AC40-9F36-6EF4E354CF50}"/>
    <hyperlink ref="B13" r:id="rId8" location="row_7" display="https://lvr.land.moi.gov.tw/jsp/list.jsp - row_7" xr:uid="{384C9B3A-5513-3646-A6DB-50BF5D86837F}"/>
    <hyperlink ref="B14" r:id="rId9" location="row_8" display="https://lvr.land.moi.gov.tw/jsp/list.jsp - row_8" xr:uid="{5D80DA27-ECCF-1244-B12F-739ECEF2AB3B}"/>
    <hyperlink ref="B15" r:id="rId10" location="row_9" display="https://lvr.land.moi.gov.tw/jsp/list.jsp - row_9" xr:uid="{BFA938CB-12B2-2A4C-A891-A21BEAA46655}"/>
    <hyperlink ref="B16" r:id="rId11" location="row_10" display="https://lvr.land.moi.gov.tw/jsp/list.jsp - row_10" xr:uid="{ECCDAABB-1371-C044-B037-343043C05D14}"/>
    <hyperlink ref="B17" r:id="rId12" location="row_11" display="https://lvr.land.moi.gov.tw/jsp/list.jsp - row_11" xr:uid="{49370B19-6803-9A4C-98AC-5E5A4C4A8CAF}"/>
    <hyperlink ref="B18" r:id="rId13" location="row_12" display="https://lvr.land.moi.gov.tw/jsp/list.jsp - row_12" xr:uid="{5B3E4116-4639-D046-81E0-23C6FC5B9D71}"/>
    <hyperlink ref="B19" r:id="rId14" location="row_13" display="https://lvr.land.moi.gov.tw/jsp/list.jsp - row_13" xr:uid="{24E299F8-8855-3A4B-8F72-2B02203B997A}"/>
    <hyperlink ref="B20" r:id="rId15" location="row_14" display="https://lvr.land.moi.gov.tw/jsp/list.jsp - row_14" xr:uid="{1D448C67-8E00-0347-9D5E-0157612A7C43}"/>
    <hyperlink ref="B21" r:id="rId16" location="row_15" display="https://lvr.land.moi.gov.tw/jsp/list.jsp - row_15" xr:uid="{747B1AA4-C1E3-F949-A859-85EDACEAF324}"/>
    <hyperlink ref="B22" r:id="rId17" location="row_16" display="https://lvr.land.moi.gov.tw/jsp/list.jsp - row_16" xr:uid="{FC75EED2-945D-8340-8635-B4FC3005B95D}"/>
    <hyperlink ref="B23" r:id="rId18" location="row_17" display="https://lvr.land.moi.gov.tw/jsp/list.jsp - row_17" xr:uid="{D9798CB9-2D26-0346-863F-BF72599A6622}"/>
    <hyperlink ref="B24" r:id="rId19" location="row_18" display="https://lvr.land.moi.gov.tw/jsp/list.jsp - row_18" xr:uid="{D368B8AB-5BF0-8B42-A281-B080F9E81D97}"/>
    <hyperlink ref="B25" r:id="rId20" location="row_19" display="https://lvr.land.moi.gov.tw/jsp/list.jsp - row_19" xr:uid="{67932DF5-C6A6-FA44-B534-0DC3002EEAA9}"/>
    <hyperlink ref="B26" r:id="rId21" location="row_20" display="https://lvr.land.moi.gov.tw/jsp/list.jsp - row_20" xr:uid="{27149EDA-8E8A-DC43-999A-813E2D04763E}"/>
    <hyperlink ref="B27" r:id="rId22" location="row_21" display="https://lvr.land.moi.gov.tw/jsp/list.jsp - row_21" xr:uid="{DB736033-25E3-6948-B758-C5428EDCA47E}"/>
    <hyperlink ref="B28" r:id="rId23" location="row_22" display="https://lvr.land.moi.gov.tw/jsp/list.jsp - row_22" xr:uid="{1AECAF1A-A1C8-2743-82E7-C8C7505D9F31}"/>
    <hyperlink ref="B29" r:id="rId24" location="row_23" display="https://lvr.land.moi.gov.tw/jsp/list.jsp - row_23" xr:uid="{04B321D6-99EA-1C4E-AC74-9F059DF728CD}"/>
    <hyperlink ref="B30" r:id="rId25" location="row_24" display="https://lvr.land.moi.gov.tw/jsp/list.jsp - row_24" xr:uid="{9078DB52-979E-2E44-92A9-A890C5A1F5AE}"/>
    <hyperlink ref="B31" r:id="rId26" location="row_25" display="https://lvr.land.moi.gov.tw/jsp/list.jsp - row_25" xr:uid="{81050152-5CDE-FF4C-B3A6-DE29F08CAF3D}"/>
    <hyperlink ref="B32" r:id="rId27" location="row_26" display="https://lvr.land.moi.gov.tw/jsp/list.jsp - row_26" xr:uid="{46C328C8-048C-3A4E-9312-BB889D38D1AC}"/>
    <hyperlink ref="B33" r:id="rId28" location="row_27" display="https://lvr.land.moi.gov.tw/jsp/list.jsp - row_27" xr:uid="{6157C938-1533-6D44-8CF1-10C748A0C1C0}"/>
    <hyperlink ref="B34" r:id="rId29" location="row_28" display="https://lvr.land.moi.gov.tw/jsp/list.jsp - row_28" xr:uid="{09A9241C-A1A9-0442-971F-08DA8D111D3B}"/>
    <hyperlink ref="B35" r:id="rId30" location="row_29" display="https://lvr.land.moi.gov.tw/jsp/list.jsp - row_29" xr:uid="{B4BEC142-EAC0-E54B-88C6-988FC55F5DD2}"/>
    <hyperlink ref="B36" r:id="rId31" location="row_30" display="https://lvr.land.moi.gov.tw/jsp/list.jsp - row_30" xr:uid="{461CC9EC-4B67-5F45-A6E3-7C658624CDC2}"/>
    <hyperlink ref="B37" r:id="rId32" location="row_31" display="https://lvr.land.moi.gov.tw/jsp/list.jsp - row_31" xr:uid="{B1D8493E-1CBE-2342-B514-92D445CA04BA}"/>
    <hyperlink ref="B38" r:id="rId33" location="row_32" display="https://lvr.land.moi.gov.tw/jsp/list.jsp - row_32" xr:uid="{49D02556-DFEB-CC41-B964-28BD6B9F4664}"/>
    <hyperlink ref="B39" r:id="rId34" location="row_33" display="https://lvr.land.moi.gov.tw/jsp/list.jsp - row_33" xr:uid="{4C68836B-9DCE-3446-AF19-2D6D4DAA7F31}"/>
    <hyperlink ref="B40" r:id="rId35" location="row_34" display="https://lvr.land.moi.gov.tw/jsp/list.jsp - row_34" xr:uid="{B3FE18DD-EBDE-024B-9244-EB8C207EBBB1}"/>
    <hyperlink ref="B41" r:id="rId36" location="row_35" display="https://lvr.land.moi.gov.tw/jsp/list.jsp - row_35" xr:uid="{64351BAD-7AC1-9E41-BCA2-2C667C9624C7}"/>
    <hyperlink ref="B42" r:id="rId37" location="row_36" display="https://lvr.land.moi.gov.tw/jsp/list.jsp - row_36" xr:uid="{295F045D-5784-3F42-B971-3B12A4A1467A}"/>
    <hyperlink ref="B43" r:id="rId38" location="row_37" display="https://lvr.land.moi.gov.tw/jsp/list.jsp - row_37" xr:uid="{EA52F6AE-6AF7-204D-B8C9-3DD6F2ADE17F}"/>
    <hyperlink ref="B44" r:id="rId39" location="row_38" display="https://lvr.land.moi.gov.tw/jsp/list.jsp - row_38" xr:uid="{0078C0D2-0BEA-0C46-902F-53A9A9178DF3}"/>
    <hyperlink ref="B45" r:id="rId40" location="row_39" display="https://lvr.land.moi.gov.tw/jsp/list.jsp - row_39" xr:uid="{D71191AB-E48D-A347-8D4E-2CE3DA534875}"/>
    <hyperlink ref="B46" r:id="rId41" location="row_40" display="https://lvr.land.moi.gov.tw/jsp/list.jsp - row_40" xr:uid="{CA193D70-6210-3F41-A3D8-E9CB220DD7E7}"/>
    <hyperlink ref="B47" r:id="rId42" location="row_41" display="https://lvr.land.moi.gov.tw/jsp/list.jsp - row_41" xr:uid="{8FD97326-94B1-7741-9EC5-B82AFA424E26}"/>
    <hyperlink ref="B48" r:id="rId43" location="row_42" display="https://lvr.land.moi.gov.tw/jsp/list.jsp - row_42" xr:uid="{C98F890E-CB2A-B74F-BA8C-25595DB9C1D9}"/>
    <hyperlink ref="B49" r:id="rId44" location="row_43" display="https://lvr.land.moi.gov.tw/jsp/list.jsp - row_43" xr:uid="{F1E5F504-7C4A-154F-BA66-3645CBE0A6A9}"/>
    <hyperlink ref="B50" r:id="rId45" location="row_44" display="https://lvr.land.moi.gov.tw/jsp/list.jsp - row_44" xr:uid="{CFA77A50-2844-B346-9A6D-75B0C6E4758A}"/>
    <hyperlink ref="B51" r:id="rId46" location="row_45" display="https://lvr.land.moi.gov.tw/jsp/list.jsp - row_45" xr:uid="{19321E9D-D800-DC47-8240-13CBCC89E7BA}"/>
    <hyperlink ref="B52" r:id="rId47" location="row_46" display="https://lvr.land.moi.gov.tw/jsp/list.jsp - row_46" xr:uid="{E64B7969-A0E7-4A44-90A9-B54C42FB219F}"/>
    <hyperlink ref="B53" r:id="rId48" location="row_47" display="https://lvr.land.moi.gov.tw/jsp/list.jsp - row_47" xr:uid="{F7A1678F-A70A-6A45-A01D-7996587FDF21}"/>
    <hyperlink ref="B54" r:id="rId49" location="row_48" display="https://lvr.land.moi.gov.tw/jsp/list.jsp - row_48" xr:uid="{9A432653-7D55-0940-BECE-ED88594575B5}"/>
    <hyperlink ref="B55" r:id="rId50" location="row_49" display="https://lvr.land.moi.gov.tw/jsp/list.jsp - row_49" xr:uid="{B260E888-D6AA-E64F-9A3B-73F5170C385C}"/>
    <hyperlink ref="B56" r:id="rId51" location="row_50" display="https://lvr.land.moi.gov.tw/jsp/list.jsp - row_50" xr:uid="{E471EC77-47F4-224D-BF74-D43AA5F16247}"/>
    <hyperlink ref="B57" r:id="rId52" location="row_51" display="https://lvr.land.moi.gov.tw/jsp/list.jsp - row_51" xr:uid="{7B4BD463-BFFA-9C41-BC16-6B00B043644A}"/>
    <hyperlink ref="B58" r:id="rId53" location="row_52" display="https://lvr.land.moi.gov.tw/jsp/list.jsp - row_52" xr:uid="{90B34B8B-592E-D24E-B99F-E6D8A060521E}"/>
    <hyperlink ref="B59" r:id="rId54" location="row_53" display="https://lvr.land.moi.gov.tw/jsp/list.jsp - row_53" xr:uid="{98360894-3F0B-6A40-9E77-CC70C75F891C}"/>
    <hyperlink ref="B60" r:id="rId55" location="row_54" display="https://lvr.land.moi.gov.tw/jsp/list.jsp - row_54" xr:uid="{34762B1B-F469-774E-B34B-A9C9ED828305}"/>
    <hyperlink ref="B61" r:id="rId56" location="row_55" display="https://lvr.land.moi.gov.tw/jsp/list.jsp - row_55" xr:uid="{F4B67CA5-D8D9-CA4E-A320-B04F271C65DA}"/>
    <hyperlink ref="B62" r:id="rId57" location="row_56" display="https://lvr.land.moi.gov.tw/jsp/list.jsp - row_56" xr:uid="{ED3B082C-7439-144D-9019-AD95DD4AC2F9}"/>
    <hyperlink ref="B63" r:id="rId58" location="row_57" display="https://lvr.land.moi.gov.tw/jsp/list.jsp - row_57" xr:uid="{470FE4A2-99AE-3F43-BDD9-D8DFE6283F35}"/>
    <hyperlink ref="B64" r:id="rId59" location="row_58" display="https://lvr.land.moi.gov.tw/jsp/list.jsp - row_58" xr:uid="{35D3A550-DE14-8040-ACCE-94B79205EEBA}"/>
    <hyperlink ref="B65" r:id="rId60" location="row_59" display="https://lvr.land.moi.gov.tw/jsp/list.jsp - row_59" xr:uid="{3ACAEF0A-8609-744A-A1ED-EA2EFCC9DB9D}"/>
    <hyperlink ref="B66" r:id="rId61" location="row_60" display="https://lvr.land.moi.gov.tw/jsp/list.jsp - row_60" xr:uid="{D48FEF30-1650-6C48-B8C7-4C85DFA11EA6}"/>
    <hyperlink ref="B67" r:id="rId62" location="row_61" display="https://lvr.land.moi.gov.tw/jsp/list.jsp - row_61" xr:uid="{7C47E375-745C-4D4B-8A5B-644F8087A889}"/>
    <hyperlink ref="B68" r:id="rId63" location="row_62" display="https://lvr.land.moi.gov.tw/jsp/list.jsp - row_62" xr:uid="{EC89BD01-FC39-0042-B70C-F2069FE716CE}"/>
    <hyperlink ref="B69" r:id="rId64" location="row_63" display="https://lvr.land.moi.gov.tw/jsp/list.jsp - row_63" xr:uid="{E48CC0F8-E180-514E-9ABE-6C25035D8396}"/>
    <hyperlink ref="B70" r:id="rId65" location="row_64" display="https://lvr.land.moi.gov.tw/jsp/list.jsp - row_64" xr:uid="{3267EC12-B82D-FF4B-8D9E-B961BBCDA9E7}"/>
    <hyperlink ref="B71" r:id="rId66" location="row_65" display="https://lvr.land.moi.gov.tw/jsp/list.jsp - row_65" xr:uid="{7C9D429A-24DD-9C48-820B-617B29228E5D}"/>
    <hyperlink ref="B72" r:id="rId67" location="row_66" display="https://lvr.land.moi.gov.tw/jsp/list.jsp - row_66" xr:uid="{2EA9DE71-FAA6-4047-B61B-BC3D9E1085D9}"/>
    <hyperlink ref="B73" r:id="rId68" location="row_67" display="https://lvr.land.moi.gov.tw/jsp/list.jsp - row_67" xr:uid="{743CC148-894B-F946-9DD9-AB374A154A31}"/>
    <hyperlink ref="B74" r:id="rId69" location="row_68" display="https://lvr.land.moi.gov.tw/jsp/list.jsp - row_68" xr:uid="{12EC93F8-7F7B-824E-9B3A-F9499734853D}"/>
    <hyperlink ref="B75" r:id="rId70" location="row_69" display="https://lvr.land.moi.gov.tw/jsp/list.jsp - row_69" xr:uid="{22DC8745-25F7-7F48-872E-E7BC79AF6A25}"/>
    <hyperlink ref="B76" r:id="rId71" location="row_70" display="https://lvr.land.moi.gov.tw/jsp/list.jsp - row_70" xr:uid="{6B05B812-FAD9-0846-89A3-3FF5BA187B41}"/>
    <hyperlink ref="B77" r:id="rId72" location="row_71" display="https://lvr.land.moi.gov.tw/jsp/list.jsp - row_71" xr:uid="{14C6DA8B-571A-3F4A-A9E0-F2FD9919608B}"/>
    <hyperlink ref="B78" r:id="rId73" location="row_72" display="https://lvr.land.moi.gov.tw/jsp/list.jsp - row_72" xr:uid="{656BE3C6-EABE-5B44-BD4C-287BC0E79BB0}"/>
    <hyperlink ref="B79" r:id="rId74" location="row_73" display="https://lvr.land.moi.gov.tw/jsp/list.jsp - row_73" xr:uid="{08295CBF-FB13-1140-B3FD-AD7553CE8369}"/>
    <hyperlink ref="B80" r:id="rId75" location="row_74" display="https://lvr.land.moi.gov.tw/jsp/list.jsp - row_74" xr:uid="{B4B4FAED-E9FA-0B43-A4DE-2AF557AF95D3}"/>
    <hyperlink ref="B81" r:id="rId76" location="row_75" display="https://lvr.land.moi.gov.tw/jsp/list.jsp - row_75" xr:uid="{BEDF2455-3C45-B246-8489-FD41AD535339}"/>
    <hyperlink ref="B82" r:id="rId77" location="row_76" display="https://lvr.land.moi.gov.tw/jsp/list.jsp - row_76" xr:uid="{96697379-99F7-C644-B481-3E136976E0F7}"/>
    <hyperlink ref="B83" r:id="rId78" location="row_77" display="https://lvr.land.moi.gov.tw/jsp/list.jsp - row_77" xr:uid="{45C7C6BF-A32A-F443-B638-A32E30F4722E}"/>
    <hyperlink ref="B84" r:id="rId79" location="row_78" display="https://lvr.land.moi.gov.tw/jsp/list.jsp - row_78" xr:uid="{75AF3982-D77E-F147-A517-37882D6E91F0}"/>
    <hyperlink ref="B85" r:id="rId80" location="row_79" display="https://lvr.land.moi.gov.tw/jsp/list.jsp - row_79" xr:uid="{90E64936-1793-1F4F-9CA9-635230EBA4EA}"/>
    <hyperlink ref="B86" r:id="rId81" location="row_80" display="https://lvr.land.moi.gov.tw/jsp/list.jsp - row_80" xr:uid="{D69937DF-395A-3749-94A2-72FA4C1F3EFB}"/>
    <hyperlink ref="B87" r:id="rId82" location="row_81" display="https://lvr.land.moi.gov.tw/jsp/list.jsp - row_81" xr:uid="{68597803-C58E-B149-9585-EB88A9A13300}"/>
    <hyperlink ref="B88" r:id="rId83" location="row_82" display="https://lvr.land.moi.gov.tw/jsp/list.jsp - row_82" xr:uid="{A4C6F82E-8528-E24C-8198-733A6A7BD715}"/>
    <hyperlink ref="B89" r:id="rId84" location="row_83" display="https://lvr.land.moi.gov.tw/jsp/list.jsp - row_83" xr:uid="{C25DF7BC-98B5-5E44-B6EF-9F897D351F6C}"/>
    <hyperlink ref="B90" r:id="rId85" location="row_84" display="https://lvr.land.moi.gov.tw/jsp/list.jsp - row_84" xr:uid="{7B46FD21-B9DD-3A40-BCFC-46DEC7C4315F}"/>
    <hyperlink ref="B91" r:id="rId86" location="row_85" display="https://lvr.land.moi.gov.tw/jsp/list.jsp - row_85" xr:uid="{6C96AE73-4EC5-1C4C-A2FB-1148DCF5CCEE}"/>
    <hyperlink ref="B92" r:id="rId87" location="row_86" display="https://lvr.land.moi.gov.tw/jsp/list.jsp - row_86" xr:uid="{23632BEB-62CE-A94B-8394-8F226FEBC099}"/>
    <hyperlink ref="B93" r:id="rId88" location="row_87" display="https://lvr.land.moi.gov.tw/jsp/list.jsp - row_87" xr:uid="{7AEFEB2E-C34E-854B-B44A-6A83B86C4FB6}"/>
    <hyperlink ref="B94" r:id="rId89" location="row_88" display="https://lvr.land.moi.gov.tw/jsp/list.jsp - row_88" xr:uid="{CCD5596E-3900-B74A-B138-BBD197E8E04E}"/>
    <hyperlink ref="B95" r:id="rId90" location="row_89" display="https://lvr.land.moi.gov.tw/jsp/list.jsp - row_89" xr:uid="{78C77328-059A-604D-AEE9-741B9FE302FB}"/>
    <hyperlink ref="B96" r:id="rId91" location="row_90" display="https://lvr.land.moi.gov.tw/jsp/list.jsp - row_90" xr:uid="{2E066257-6BD7-BA41-BF1A-F61F44B475AF}"/>
    <hyperlink ref="B97" r:id="rId92" location="row_91" display="https://lvr.land.moi.gov.tw/jsp/list.jsp - row_91" xr:uid="{AADAB186-BCDF-C64D-B6A0-7497A3DD60FF}"/>
    <hyperlink ref="B98" r:id="rId93" location="row_0" display="https://lvr.land.moi.gov.tw/jsp/list.jsp - row_0" xr:uid="{DFDE178C-8D51-794A-BEEE-7ECA22F450F7}"/>
    <hyperlink ref="B99" r:id="rId94" location="row_1" display="https://lvr.land.moi.gov.tw/jsp/list.jsp - row_1" xr:uid="{872A1660-8C42-7D4B-9113-E6504F52F65A}"/>
    <hyperlink ref="B100" r:id="rId95" location="row_2" display="https://lvr.land.moi.gov.tw/jsp/list.jsp - row_2" xr:uid="{120150B5-6EA5-6347-8340-F356557AEE37}"/>
    <hyperlink ref="B101" r:id="rId96" location="row_3" display="https://lvr.land.moi.gov.tw/jsp/list.jsp - row_3" xr:uid="{134EAB1D-2924-3747-831E-2812CE55789E}"/>
    <hyperlink ref="B102" r:id="rId97" location="row_4" display="https://lvr.land.moi.gov.tw/jsp/list.jsp - row_4" xr:uid="{1FE1C69D-E418-1949-9995-33269DAC84CB}"/>
    <hyperlink ref="B103" r:id="rId98" location="row_5" display="https://lvr.land.moi.gov.tw/jsp/list.jsp - row_5" xr:uid="{5B8D642B-4B3A-3D42-A0CB-3FDDD3B7BFB1}"/>
    <hyperlink ref="B104" r:id="rId99" location="row_6" display="https://lvr.land.moi.gov.tw/jsp/list.jsp - row_6" xr:uid="{C54BC5F6-0619-6E42-8ACE-2D975F0392C9}"/>
    <hyperlink ref="B105" r:id="rId100" location="row_7" display="https://lvr.land.moi.gov.tw/jsp/list.jsp - row_7" xr:uid="{016BB24A-6393-2C40-B1D7-AC5FB63E51F9}"/>
    <hyperlink ref="B106" r:id="rId101" location="row_8" display="https://lvr.land.moi.gov.tw/jsp/list.jsp - row_8" xr:uid="{B22BFBAE-8882-754B-8F7F-F82FEFA489E0}"/>
    <hyperlink ref="B107" r:id="rId102" location="row_9" display="https://lvr.land.moi.gov.tw/jsp/list.jsp - row_9" xr:uid="{0861063F-2B38-AD4A-8C72-9BE31010716F}"/>
    <hyperlink ref="B108" r:id="rId103" location="row_10" display="https://lvr.land.moi.gov.tw/jsp/list.jsp - row_10" xr:uid="{FC4E7498-A3CC-CB40-A9E9-CE806A433FE7}"/>
    <hyperlink ref="B109" r:id="rId104" location="row_11" display="https://lvr.land.moi.gov.tw/jsp/list.jsp - row_11" xr:uid="{ACA2EA56-581C-F642-8E37-2AE9556B7A7D}"/>
    <hyperlink ref="B110" r:id="rId105" location="row_12" display="https://lvr.land.moi.gov.tw/jsp/list.jsp - row_12" xr:uid="{7D354A00-C0CB-2F42-9CBC-BC65FE622D2E}"/>
    <hyperlink ref="B111" r:id="rId106" location="row_13" display="https://lvr.land.moi.gov.tw/jsp/list.jsp - row_13" xr:uid="{641D47DC-6B57-F043-8700-37F770C834A3}"/>
    <hyperlink ref="B112" r:id="rId107" location="row_14" display="https://lvr.land.moi.gov.tw/jsp/list.jsp - row_14" xr:uid="{80D8FB87-3903-644A-927A-06D7ECB25D16}"/>
    <hyperlink ref="B113" r:id="rId108" location="row_15" display="https://lvr.land.moi.gov.tw/jsp/list.jsp - row_15" xr:uid="{52EE42DB-677C-254B-A3AE-0237BF7B52A1}"/>
    <hyperlink ref="B114" r:id="rId109" location="row_16" display="https://lvr.land.moi.gov.tw/jsp/list.jsp - row_16" xr:uid="{1CAADE0F-D06F-A745-ABDF-A1B65AAEEFE0}"/>
    <hyperlink ref="B115" r:id="rId110" location="row_17" display="https://lvr.land.moi.gov.tw/jsp/list.jsp - row_17" xr:uid="{9F6156CD-948F-3442-82C8-FF28D5F28BF2}"/>
    <hyperlink ref="B116" r:id="rId111" location="row_18" display="https://lvr.land.moi.gov.tw/jsp/list.jsp - row_18" xr:uid="{EEA6852D-88D2-E849-ABD2-8D1CE46382B8}"/>
    <hyperlink ref="B117" r:id="rId112" location="row_19" display="https://lvr.land.moi.gov.tw/jsp/list.jsp - row_19" xr:uid="{C0196E1B-7951-E944-A52A-F660EAC84E29}"/>
    <hyperlink ref="B118" r:id="rId113" location="row_20" display="https://lvr.land.moi.gov.tw/jsp/list.jsp - row_20" xr:uid="{6715B587-B49F-9349-AF7B-880B131973A5}"/>
    <hyperlink ref="B119" r:id="rId114" location="row_21" display="https://lvr.land.moi.gov.tw/jsp/list.jsp - row_21" xr:uid="{5D73E8C9-66B3-BC47-908A-53321AAC84A0}"/>
    <hyperlink ref="B120" r:id="rId115" location="row_22" display="https://lvr.land.moi.gov.tw/jsp/list.jsp - row_22" xr:uid="{65BDCDA0-EAEB-894D-9D57-B76977ED136E}"/>
    <hyperlink ref="B121" r:id="rId116" location="row_23" display="https://lvr.land.moi.gov.tw/jsp/list.jsp - row_23" xr:uid="{7EC2AB62-93F7-BD4A-B4F0-E266990DC3ED}"/>
    <hyperlink ref="B122" r:id="rId117" location="row_24" display="https://lvr.land.moi.gov.tw/jsp/list.jsp - row_24" xr:uid="{C0FA7F06-74C0-334E-8368-B7179422775A}"/>
    <hyperlink ref="B123" r:id="rId118" location="row_25" display="https://lvr.land.moi.gov.tw/jsp/list.jsp - row_25" xr:uid="{0466F184-7DB5-1C40-B260-B4DDBE61C93B}"/>
    <hyperlink ref="B124" r:id="rId119" location="row_26" display="https://lvr.land.moi.gov.tw/jsp/list.jsp - row_26" xr:uid="{7A3AB70E-130A-0442-B42D-92D12C530E47}"/>
    <hyperlink ref="B125" r:id="rId120" location="row_27" display="https://lvr.land.moi.gov.tw/jsp/list.jsp - row_27" xr:uid="{A2E8BE27-1A2C-8C43-80FB-BBE1D0FFE07D}"/>
    <hyperlink ref="B126" r:id="rId121" location="row_28" display="https://lvr.land.moi.gov.tw/jsp/list.jsp - row_28" xr:uid="{8EEEFD47-8D6E-D148-B7D3-E9203A49A266}"/>
    <hyperlink ref="B127" r:id="rId122" location="row_29" display="https://lvr.land.moi.gov.tw/jsp/list.jsp - row_29" xr:uid="{717DD74B-EC77-8D48-A6E3-2BC6E56D9BE7}"/>
    <hyperlink ref="B128" r:id="rId123" location="row_30" display="https://lvr.land.moi.gov.tw/jsp/list.jsp - row_30" xr:uid="{313155A7-B9FF-4E4E-B62C-8851A66CE7F2}"/>
    <hyperlink ref="B129" r:id="rId124" location="row_31" display="https://lvr.land.moi.gov.tw/jsp/list.jsp - row_31" xr:uid="{3589D984-99CE-0D46-B417-EA1005E58934}"/>
    <hyperlink ref="B130" r:id="rId125" location="row_32" display="https://lvr.land.moi.gov.tw/jsp/list.jsp - row_32" xr:uid="{58724076-9058-0D48-9A94-A419DFF99888}"/>
    <hyperlink ref="B131" r:id="rId126" location="row_33" display="https://lvr.land.moi.gov.tw/jsp/list.jsp - row_33" xr:uid="{D294817A-A434-484E-84FC-9D2BA8D829A4}"/>
    <hyperlink ref="B132" r:id="rId127" location="row_34" display="https://lvr.land.moi.gov.tw/jsp/list.jsp - row_34" xr:uid="{BC758442-3563-6142-B938-B7BADC02FD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62E5-1330-564B-949E-D4AD5E282AE2}">
  <dimension ref="A1:T127"/>
  <sheetViews>
    <sheetView workbookViewId="0">
      <pane xSplit="22" ySplit="1" topLeftCell="W87" activePane="bottomRight" state="frozen"/>
      <selection pane="topRight" activeCell="P1" sqref="P1"/>
      <selection pane="bottomLeft" activeCell="A2" sqref="A2"/>
      <selection pane="bottomRight" activeCell="H97" sqref="H97"/>
    </sheetView>
  </sheetViews>
  <sheetFormatPr baseColWidth="10" defaultRowHeight="15"/>
  <cols>
    <col min="1" max="1" width="7.1640625" style="1" customWidth="1"/>
    <col min="2" max="2" width="13.1640625" style="1" customWidth="1"/>
    <col min="3" max="3" width="26.6640625" customWidth="1"/>
    <col min="4" max="4" width="13" style="2" customWidth="1"/>
    <col min="5" max="5" width="9.5" customWidth="1"/>
    <col min="6" max="6" width="7.83203125" style="3" customWidth="1"/>
    <col min="7" max="7" width="8.33203125" customWidth="1"/>
    <col min="8" max="8" width="12" style="5" customWidth="1"/>
    <col min="9" max="12" width="10.83203125" style="6"/>
    <col min="13" max="13" width="4.5" customWidth="1"/>
    <col min="14" max="14" width="19.6640625" customWidth="1"/>
    <col min="15" max="15" width="9" customWidth="1"/>
    <col min="16" max="16" width="13.83203125" customWidth="1"/>
    <col min="17" max="17" width="14.83203125" customWidth="1"/>
    <col min="18" max="19" width="21.1640625" customWidth="1"/>
    <col min="20" max="20" width="15.1640625" customWidth="1"/>
  </cols>
  <sheetData>
    <row r="1" spans="1:20">
      <c r="A1" s="1" t="s">
        <v>239</v>
      </c>
      <c r="B1" s="1" t="s">
        <v>392</v>
      </c>
      <c r="C1" t="s">
        <v>391</v>
      </c>
      <c r="D1" s="2" t="s">
        <v>393</v>
      </c>
      <c r="E1" t="s">
        <v>2</v>
      </c>
      <c r="F1" s="3" t="s">
        <v>394</v>
      </c>
      <c r="G1" t="s">
        <v>396</v>
      </c>
      <c r="H1" s="5" t="s">
        <v>402</v>
      </c>
      <c r="I1" s="6" t="s">
        <v>238</v>
      </c>
      <c r="J1" s="6" t="s">
        <v>397</v>
      </c>
      <c r="K1" s="6" t="s">
        <v>407</v>
      </c>
      <c r="L1" s="6" t="s">
        <v>408</v>
      </c>
      <c r="M1" t="s">
        <v>398</v>
      </c>
      <c r="N1" t="s">
        <v>366</v>
      </c>
      <c r="O1" t="s">
        <v>399</v>
      </c>
      <c r="P1" t="s">
        <v>12</v>
      </c>
      <c r="Q1" t="s">
        <v>13</v>
      </c>
      <c r="R1" t="s">
        <v>400</v>
      </c>
      <c r="S1" t="s">
        <v>401</v>
      </c>
      <c r="T1" t="s">
        <v>403</v>
      </c>
    </row>
    <row r="2" spans="1:20">
      <c r="A2" s="1" t="s">
        <v>332</v>
      </c>
      <c r="B2" s="1" t="s">
        <v>368</v>
      </c>
      <c r="C2" t="s">
        <v>19</v>
      </c>
      <c r="D2" s="2">
        <v>630</v>
      </c>
      <c r="E2" t="s">
        <v>20</v>
      </c>
      <c r="F2" s="4">
        <v>110</v>
      </c>
      <c r="G2" s="4">
        <v>6</v>
      </c>
      <c r="H2" s="5">
        <v>13.8</v>
      </c>
      <c r="I2" s="6">
        <v>45.62</v>
      </c>
      <c r="J2" s="6">
        <v>63.36</v>
      </c>
      <c r="K2" s="6">
        <f>I2*J2/100</f>
        <v>28.904831999999995</v>
      </c>
      <c r="L2" s="6">
        <f>D2/K2</f>
        <v>21.795663783826875</v>
      </c>
      <c r="M2">
        <v>6</v>
      </c>
      <c r="N2" t="s">
        <v>21</v>
      </c>
      <c r="O2">
        <v>11</v>
      </c>
      <c r="P2" t="s">
        <v>232</v>
      </c>
      <c r="Q2" t="s">
        <v>233</v>
      </c>
      <c r="R2" t="s">
        <v>22</v>
      </c>
      <c r="S2" t="s">
        <v>373</v>
      </c>
    </row>
    <row r="3" spans="1:20">
      <c r="A3" s="1" t="s">
        <v>340</v>
      </c>
      <c r="B3" s="1" t="s">
        <v>368</v>
      </c>
      <c r="C3" t="s">
        <v>41</v>
      </c>
      <c r="D3" s="2">
        <v>895</v>
      </c>
      <c r="E3" t="s">
        <v>28</v>
      </c>
      <c r="F3" s="4">
        <v>110</v>
      </c>
      <c r="G3" s="4">
        <v>5</v>
      </c>
      <c r="H3" s="5">
        <v>21.2</v>
      </c>
      <c r="I3" s="6">
        <v>42.15</v>
      </c>
      <c r="J3" s="6">
        <v>46.62</v>
      </c>
      <c r="K3" s="6">
        <f t="shared" ref="K3:K66" si="0">I3*J3/100</f>
        <v>19.65033</v>
      </c>
      <c r="L3" s="6">
        <f t="shared" ref="L3:L66" si="1">D3/K3</f>
        <v>45.546308891504623</v>
      </c>
      <c r="M3">
        <v>6</v>
      </c>
      <c r="N3" t="s">
        <v>42</v>
      </c>
      <c r="O3">
        <v>17</v>
      </c>
      <c r="P3" t="s">
        <v>232</v>
      </c>
      <c r="Q3" t="s">
        <v>233</v>
      </c>
      <c r="R3" t="s">
        <v>22</v>
      </c>
      <c r="S3" t="s">
        <v>373</v>
      </c>
    </row>
    <row r="4" spans="1:20">
      <c r="A4" s="1" t="s">
        <v>344</v>
      </c>
      <c r="B4" s="1" t="s">
        <v>368</v>
      </c>
      <c r="C4" t="s">
        <v>48</v>
      </c>
      <c r="D4" s="2">
        <v>900</v>
      </c>
      <c r="E4" t="s">
        <v>28</v>
      </c>
      <c r="F4" s="4">
        <v>110</v>
      </c>
      <c r="G4" s="4">
        <v>5</v>
      </c>
      <c r="H4" s="5">
        <v>16.3</v>
      </c>
      <c r="I4" s="6">
        <v>58.51</v>
      </c>
      <c r="J4" s="6">
        <v>63.21</v>
      </c>
      <c r="K4" s="6">
        <f t="shared" si="0"/>
        <v>36.984171000000003</v>
      </c>
      <c r="L4" s="6">
        <f t="shared" si="1"/>
        <v>24.334734987029989</v>
      </c>
      <c r="M4">
        <v>6</v>
      </c>
      <c r="N4" t="s">
        <v>49</v>
      </c>
      <c r="O4">
        <v>19</v>
      </c>
      <c r="P4" t="s">
        <v>232</v>
      </c>
      <c r="Q4" t="s">
        <v>233</v>
      </c>
      <c r="R4" t="s">
        <v>32</v>
      </c>
      <c r="S4" t="s">
        <v>374</v>
      </c>
      <c r="T4">
        <v>100</v>
      </c>
    </row>
    <row r="5" spans="1:20">
      <c r="A5" s="1" t="s">
        <v>350</v>
      </c>
      <c r="B5" s="1" t="s">
        <v>368</v>
      </c>
      <c r="C5" t="s">
        <v>59</v>
      </c>
      <c r="D5" s="2">
        <v>1110</v>
      </c>
      <c r="E5" t="s">
        <v>28</v>
      </c>
      <c r="F5" s="4">
        <v>110</v>
      </c>
      <c r="G5" s="4">
        <v>5</v>
      </c>
      <c r="H5" s="5">
        <v>19.600000000000001</v>
      </c>
      <c r="I5" s="6">
        <v>58.51</v>
      </c>
      <c r="J5" s="6">
        <v>63.21</v>
      </c>
      <c r="K5" s="6">
        <f t="shared" si="0"/>
        <v>36.984171000000003</v>
      </c>
      <c r="L5" s="6">
        <f t="shared" si="1"/>
        <v>30.012839817336989</v>
      </c>
      <c r="M5">
        <v>6</v>
      </c>
      <c r="N5" t="s">
        <v>40</v>
      </c>
      <c r="O5">
        <v>4</v>
      </c>
      <c r="P5" t="s">
        <v>232</v>
      </c>
      <c r="Q5" t="s">
        <v>233</v>
      </c>
      <c r="R5" t="s">
        <v>32</v>
      </c>
      <c r="S5" t="s">
        <v>374</v>
      </c>
      <c r="T5">
        <v>150</v>
      </c>
    </row>
    <row r="6" spans="1:20">
      <c r="A6" s="1" t="s">
        <v>345</v>
      </c>
      <c r="B6" s="1" t="s">
        <v>368</v>
      </c>
      <c r="C6" t="s">
        <v>50</v>
      </c>
      <c r="D6" s="2">
        <v>968</v>
      </c>
      <c r="E6" t="s">
        <v>28</v>
      </c>
      <c r="F6" s="4">
        <v>110</v>
      </c>
      <c r="G6" s="4">
        <v>5</v>
      </c>
      <c r="H6" s="5">
        <v>21.2</v>
      </c>
      <c r="I6" s="6">
        <v>45.62</v>
      </c>
      <c r="J6" s="6">
        <v>63.36</v>
      </c>
      <c r="K6" s="6">
        <f t="shared" si="0"/>
        <v>28.904831999999995</v>
      </c>
      <c r="L6" s="6">
        <f t="shared" si="1"/>
        <v>33.489210385308596</v>
      </c>
      <c r="M6">
        <v>6</v>
      </c>
      <c r="N6" t="s">
        <v>51</v>
      </c>
      <c r="O6">
        <v>9</v>
      </c>
      <c r="P6" t="s">
        <v>232</v>
      </c>
      <c r="Q6" t="s">
        <v>233</v>
      </c>
      <c r="R6" t="s">
        <v>26</v>
      </c>
      <c r="S6" t="s">
        <v>375</v>
      </c>
    </row>
    <row r="7" spans="1:20">
      <c r="A7" s="1" t="s">
        <v>337</v>
      </c>
      <c r="B7" s="1" t="s">
        <v>368</v>
      </c>
      <c r="C7" t="s">
        <v>35</v>
      </c>
      <c r="D7" s="2">
        <v>850</v>
      </c>
      <c r="E7" t="s">
        <v>28</v>
      </c>
      <c r="F7" s="4">
        <v>110</v>
      </c>
      <c r="G7" s="4">
        <v>5</v>
      </c>
      <c r="H7" s="5">
        <v>20.2</v>
      </c>
      <c r="I7" s="6">
        <v>42.15</v>
      </c>
      <c r="J7" s="6">
        <v>63.1</v>
      </c>
      <c r="K7" s="6">
        <f t="shared" si="0"/>
        <v>26.59665</v>
      </c>
      <c r="L7" s="6">
        <f t="shared" si="1"/>
        <v>31.958912118631481</v>
      </c>
      <c r="M7">
        <v>6</v>
      </c>
      <c r="N7" t="s">
        <v>36</v>
      </c>
      <c r="O7">
        <v>21</v>
      </c>
      <c r="P7" t="s">
        <v>232</v>
      </c>
      <c r="Q7" t="s">
        <v>233</v>
      </c>
      <c r="R7" t="s">
        <v>22</v>
      </c>
      <c r="S7" t="s">
        <v>373</v>
      </c>
    </row>
    <row r="8" spans="1:20">
      <c r="A8" s="1" t="s">
        <v>364</v>
      </c>
      <c r="B8" s="1" t="s">
        <v>368</v>
      </c>
      <c r="C8" t="s">
        <v>82</v>
      </c>
      <c r="D8" s="2">
        <v>780</v>
      </c>
      <c r="E8" t="s">
        <v>65</v>
      </c>
      <c r="F8" s="4">
        <v>110</v>
      </c>
      <c r="G8" s="4">
        <v>4</v>
      </c>
      <c r="H8" s="5">
        <v>13.7</v>
      </c>
      <c r="I8" s="6">
        <v>56.98</v>
      </c>
      <c r="J8" s="6">
        <v>50.95</v>
      </c>
      <c r="K8" s="6">
        <f t="shared" si="0"/>
        <v>29.031309999999998</v>
      </c>
      <c r="L8" s="6">
        <f t="shared" si="1"/>
        <v>26.86754404124375</v>
      </c>
      <c r="M8">
        <v>6</v>
      </c>
      <c r="N8" t="s">
        <v>42</v>
      </c>
      <c r="O8">
        <v>17</v>
      </c>
      <c r="P8" t="s">
        <v>232</v>
      </c>
      <c r="Q8" t="s">
        <v>233</v>
      </c>
      <c r="R8" t="s">
        <v>67</v>
      </c>
      <c r="S8" t="s">
        <v>374</v>
      </c>
    </row>
    <row r="9" spans="1:20">
      <c r="A9" s="1" t="s">
        <v>351</v>
      </c>
      <c r="B9" s="1" t="s">
        <v>368</v>
      </c>
      <c r="C9" t="s">
        <v>60</v>
      </c>
      <c r="D9" s="2">
        <v>840</v>
      </c>
      <c r="E9" t="s">
        <v>28</v>
      </c>
      <c r="F9" s="4">
        <v>110</v>
      </c>
      <c r="G9" s="4">
        <v>5</v>
      </c>
      <c r="H9" s="5">
        <v>14</v>
      </c>
      <c r="I9" s="6">
        <v>59.98</v>
      </c>
      <c r="J9" s="6">
        <v>63.21</v>
      </c>
      <c r="K9" s="6">
        <f t="shared" si="0"/>
        <v>37.913357999999995</v>
      </c>
      <c r="L9" s="6">
        <f t="shared" si="1"/>
        <v>22.155779501251249</v>
      </c>
      <c r="M9">
        <v>6</v>
      </c>
      <c r="N9" t="s">
        <v>49</v>
      </c>
      <c r="O9">
        <v>19</v>
      </c>
      <c r="P9" t="s">
        <v>232</v>
      </c>
      <c r="Q9" t="s">
        <v>233</v>
      </c>
      <c r="R9" t="s">
        <v>61</v>
      </c>
      <c r="S9" t="s">
        <v>373</v>
      </c>
    </row>
    <row r="10" spans="1:20">
      <c r="A10" s="1" t="s">
        <v>359</v>
      </c>
      <c r="B10" s="1" t="s">
        <v>368</v>
      </c>
      <c r="C10" t="s">
        <v>75</v>
      </c>
      <c r="D10" s="2">
        <v>820</v>
      </c>
      <c r="E10" t="s">
        <v>65</v>
      </c>
      <c r="F10" s="4">
        <v>110</v>
      </c>
      <c r="G10" s="4">
        <v>4</v>
      </c>
      <c r="H10" s="5">
        <v>18</v>
      </c>
      <c r="I10" s="6">
        <v>45.62</v>
      </c>
      <c r="J10" s="6">
        <v>63.36</v>
      </c>
      <c r="K10" s="6">
        <f t="shared" si="0"/>
        <v>28.904831999999995</v>
      </c>
      <c r="L10" s="6">
        <f t="shared" si="1"/>
        <v>28.368959210695294</v>
      </c>
      <c r="M10">
        <v>6</v>
      </c>
      <c r="N10" t="s">
        <v>53</v>
      </c>
      <c r="O10">
        <v>12</v>
      </c>
      <c r="P10" t="s">
        <v>232</v>
      </c>
      <c r="Q10" t="s">
        <v>233</v>
      </c>
      <c r="R10" t="s">
        <v>22</v>
      </c>
      <c r="S10" t="s">
        <v>373</v>
      </c>
    </row>
    <row r="11" spans="1:20">
      <c r="A11" s="1" t="s">
        <v>358</v>
      </c>
      <c r="B11" s="1" t="s">
        <v>368</v>
      </c>
      <c r="C11" t="s">
        <v>74</v>
      </c>
      <c r="D11" s="2">
        <v>1280</v>
      </c>
      <c r="E11" t="s">
        <v>65</v>
      </c>
      <c r="F11" s="4">
        <v>110</v>
      </c>
      <c r="G11" s="4">
        <v>4</v>
      </c>
      <c r="H11" s="5">
        <v>18</v>
      </c>
      <c r="I11" s="6">
        <v>70.989999999999995</v>
      </c>
      <c r="J11" s="6">
        <v>63.21</v>
      </c>
      <c r="K11" s="6">
        <f t="shared" si="0"/>
        <v>44.872779000000001</v>
      </c>
      <c r="L11" s="6">
        <f t="shared" si="1"/>
        <v>28.525088673469497</v>
      </c>
      <c r="M11">
        <v>6</v>
      </c>
      <c r="N11" t="s">
        <v>63</v>
      </c>
      <c r="O11">
        <v>18</v>
      </c>
      <c r="P11" t="s">
        <v>232</v>
      </c>
      <c r="Q11" t="s">
        <v>234</v>
      </c>
      <c r="R11" t="s">
        <v>32</v>
      </c>
      <c r="S11" t="s">
        <v>374</v>
      </c>
    </row>
    <row r="12" spans="1:20">
      <c r="A12" s="1" t="s">
        <v>360</v>
      </c>
      <c r="B12" s="1" t="s">
        <v>368</v>
      </c>
      <c r="C12" t="s">
        <v>76</v>
      </c>
      <c r="D12" s="2">
        <v>830</v>
      </c>
      <c r="E12" t="s">
        <v>65</v>
      </c>
      <c r="F12" s="4">
        <v>110</v>
      </c>
      <c r="G12" s="4">
        <v>4</v>
      </c>
      <c r="H12" s="5">
        <v>13.2</v>
      </c>
      <c r="I12" s="6">
        <v>62.64</v>
      </c>
      <c r="J12" s="6">
        <v>62.78</v>
      </c>
      <c r="K12" s="6">
        <f t="shared" si="0"/>
        <v>39.325392000000001</v>
      </c>
      <c r="L12" s="6">
        <f t="shared" si="1"/>
        <v>21.105956172032563</v>
      </c>
      <c r="M12">
        <v>6</v>
      </c>
      <c r="N12" t="s">
        <v>58</v>
      </c>
      <c r="O12">
        <v>8</v>
      </c>
      <c r="P12" t="s">
        <v>232</v>
      </c>
      <c r="Q12" t="s">
        <v>234</v>
      </c>
      <c r="R12" t="s">
        <v>26</v>
      </c>
      <c r="S12" t="s">
        <v>375</v>
      </c>
    </row>
    <row r="13" spans="1:20">
      <c r="A13" s="1" t="s">
        <v>346</v>
      </c>
      <c r="B13" s="1" t="s">
        <v>368</v>
      </c>
      <c r="C13" t="s">
        <v>52</v>
      </c>
      <c r="D13" s="2">
        <v>900</v>
      </c>
      <c r="E13" t="s">
        <v>28</v>
      </c>
      <c r="F13" s="4">
        <v>110</v>
      </c>
      <c r="G13" s="4">
        <v>5</v>
      </c>
      <c r="H13" s="5">
        <v>12.7</v>
      </c>
      <c r="I13" s="6">
        <v>70.989999999999995</v>
      </c>
      <c r="J13" s="6">
        <v>43.61</v>
      </c>
      <c r="K13" s="6">
        <f t="shared" si="0"/>
        <v>30.958738999999994</v>
      </c>
      <c r="L13" s="6">
        <f t="shared" si="1"/>
        <v>29.070951500963918</v>
      </c>
      <c r="M13">
        <v>6</v>
      </c>
      <c r="N13" t="s">
        <v>53</v>
      </c>
      <c r="O13">
        <v>12</v>
      </c>
      <c r="P13" t="s">
        <v>232</v>
      </c>
      <c r="Q13" t="s">
        <v>234</v>
      </c>
      <c r="R13" t="s">
        <v>26</v>
      </c>
      <c r="S13" t="s">
        <v>375</v>
      </c>
    </row>
    <row r="14" spans="1:20">
      <c r="A14" s="1" t="s">
        <v>352</v>
      </c>
      <c r="B14" s="1" t="s">
        <v>368</v>
      </c>
      <c r="C14" t="s">
        <v>62</v>
      </c>
      <c r="D14" s="2">
        <v>900</v>
      </c>
      <c r="E14" t="s">
        <v>28</v>
      </c>
      <c r="F14" s="4">
        <v>110</v>
      </c>
      <c r="G14" s="4">
        <v>5</v>
      </c>
      <c r="H14" s="5">
        <v>15</v>
      </c>
      <c r="I14" s="6">
        <v>59.98</v>
      </c>
      <c r="J14" s="6">
        <v>51.61</v>
      </c>
      <c r="K14" s="6">
        <f t="shared" si="0"/>
        <v>30.955677999999999</v>
      </c>
      <c r="L14" s="6">
        <f t="shared" si="1"/>
        <v>29.073826132963394</v>
      </c>
      <c r="M14">
        <v>6</v>
      </c>
      <c r="N14" t="s">
        <v>63</v>
      </c>
      <c r="O14">
        <v>18</v>
      </c>
      <c r="P14" t="s">
        <v>232</v>
      </c>
      <c r="Q14" t="s">
        <v>233</v>
      </c>
      <c r="R14" t="s">
        <v>32</v>
      </c>
      <c r="S14" t="s">
        <v>374</v>
      </c>
    </row>
    <row r="15" spans="1:20">
      <c r="A15" s="1" t="s">
        <v>354</v>
      </c>
      <c r="B15" s="1" t="s">
        <v>368</v>
      </c>
      <c r="C15" t="s">
        <v>66</v>
      </c>
      <c r="D15" s="2">
        <v>1000</v>
      </c>
      <c r="E15" t="s">
        <v>65</v>
      </c>
      <c r="F15" s="4">
        <v>110</v>
      </c>
      <c r="G15" s="4">
        <v>4</v>
      </c>
      <c r="H15" s="5">
        <v>16.7</v>
      </c>
      <c r="I15" s="6">
        <v>59.98</v>
      </c>
      <c r="J15" s="6">
        <v>63.21</v>
      </c>
      <c r="K15" s="6">
        <f t="shared" si="0"/>
        <v>37.913357999999995</v>
      </c>
      <c r="L15" s="6">
        <f t="shared" si="1"/>
        <v>26.37592797768006</v>
      </c>
      <c r="M15">
        <v>6</v>
      </c>
      <c r="N15" t="s">
        <v>25</v>
      </c>
      <c r="O15">
        <v>15</v>
      </c>
      <c r="P15" t="s">
        <v>232</v>
      </c>
      <c r="Q15" t="s">
        <v>233</v>
      </c>
      <c r="R15" t="s">
        <v>67</v>
      </c>
      <c r="S15" t="s">
        <v>374</v>
      </c>
    </row>
    <row r="16" spans="1:20">
      <c r="A16" s="1" t="s">
        <v>357</v>
      </c>
      <c r="B16" s="1" t="s">
        <v>368</v>
      </c>
      <c r="C16" t="s">
        <v>72</v>
      </c>
      <c r="D16" s="2">
        <v>570</v>
      </c>
      <c r="E16" t="s">
        <v>65</v>
      </c>
      <c r="F16" s="4">
        <v>110</v>
      </c>
      <c r="G16" s="4">
        <v>4</v>
      </c>
      <c r="H16" s="5">
        <v>13.5</v>
      </c>
      <c r="I16" s="6">
        <v>42.15</v>
      </c>
      <c r="J16" s="6">
        <v>63.1</v>
      </c>
      <c r="K16" s="6">
        <f t="shared" si="0"/>
        <v>26.59665</v>
      </c>
      <c r="L16" s="6">
        <f t="shared" si="1"/>
        <v>21.431270479552875</v>
      </c>
      <c r="M16">
        <v>6</v>
      </c>
      <c r="N16" t="s">
        <v>73</v>
      </c>
      <c r="O16">
        <v>16</v>
      </c>
      <c r="P16" t="s">
        <v>232</v>
      </c>
      <c r="Q16" t="s">
        <v>233</v>
      </c>
      <c r="R16" t="s">
        <v>45</v>
      </c>
      <c r="S16" t="s">
        <v>373</v>
      </c>
    </row>
    <row r="17" spans="1:20">
      <c r="A17" s="1" t="s">
        <v>339</v>
      </c>
      <c r="B17" s="1" t="s">
        <v>368</v>
      </c>
      <c r="C17" t="s">
        <v>39</v>
      </c>
      <c r="D17" s="2">
        <v>550</v>
      </c>
      <c r="E17" t="s">
        <v>28</v>
      </c>
      <c r="F17" s="4">
        <v>110</v>
      </c>
      <c r="G17" s="4">
        <v>5</v>
      </c>
      <c r="H17" s="5">
        <v>13.5</v>
      </c>
      <c r="I17" s="6">
        <v>40.67</v>
      </c>
      <c r="J17" s="6">
        <v>48.31</v>
      </c>
      <c r="K17" s="6">
        <f t="shared" si="0"/>
        <v>19.647677000000002</v>
      </c>
      <c r="L17" s="6">
        <f t="shared" si="1"/>
        <v>27.993131198156401</v>
      </c>
      <c r="M17">
        <v>6</v>
      </c>
      <c r="N17" t="s">
        <v>40</v>
      </c>
      <c r="O17">
        <v>4</v>
      </c>
      <c r="P17" t="s">
        <v>232</v>
      </c>
      <c r="Q17" t="s">
        <v>233</v>
      </c>
      <c r="R17" t="s">
        <v>22</v>
      </c>
      <c r="S17" t="s">
        <v>373</v>
      </c>
    </row>
    <row r="18" spans="1:20">
      <c r="A18" s="1" t="s">
        <v>336</v>
      </c>
      <c r="B18" s="1" t="s">
        <v>368</v>
      </c>
      <c r="C18" t="s">
        <v>33</v>
      </c>
      <c r="D18" s="2">
        <v>1055</v>
      </c>
      <c r="E18" t="s">
        <v>28</v>
      </c>
      <c r="F18" s="4">
        <v>110</v>
      </c>
      <c r="G18" s="4">
        <v>5</v>
      </c>
      <c r="H18" s="5">
        <v>23.5</v>
      </c>
      <c r="I18" s="6">
        <v>44.8</v>
      </c>
      <c r="J18" s="6">
        <v>58.25</v>
      </c>
      <c r="K18" s="6">
        <f t="shared" si="0"/>
        <v>26.096</v>
      </c>
      <c r="L18" s="6">
        <f t="shared" si="1"/>
        <v>40.427651747394236</v>
      </c>
      <c r="M18">
        <v>6</v>
      </c>
      <c r="N18" t="s">
        <v>34</v>
      </c>
      <c r="O18">
        <v>1</v>
      </c>
      <c r="P18" t="s">
        <v>232</v>
      </c>
      <c r="Q18" t="s">
        <v>233</v>
      </c>
      <c r="R18" t="s">
        <v>22</v>
      </c>
      <c r="S18" t="s">
        <v>373</v>
      </c>
    </row>
    <row r="19" spans="1:20">
      <c r="A19" s="1" t="s">
        <v>355</v>
      </c>
      <c r="B19" s="1" t="s">
        <v>368</v>
      </c>
      <c r="C19" t="s">
        <v>68</v>
      </c>
      <c r="D19" s="2">
        <v>850</v>
      </c>
      <c r="E19" t="s">
        <v>65</v>
      </c>
      <c r="F19" s="4">
        <v>110</v>
      </c>
      <c r="G19" s="4">
        <v>4</v>
      </c>
      <c r="H19" s="5">
        <v>20.2</v>
      </c>
      <c r="I19" s="6">
        <v>42.15</v>
      </c>
      <c r="J19" s="6">
        <v>63.1</v>
      </c>
      <c r="K19" s="6">
        <f t="shared" si="0"/>
        <v>26.59665</v>
      </c>
      <c r="L19" s="6">
        <f t="shared" si="1"/>
        <v>31.958912118631481</v>
      </c>
      <c r="M19">
        <v>6</v>
      </c>
      <c r="N19" t="s">
        <v>69</v>
      </c>
      <c r="O19">
        <v>8</v>
      </c>
      <c r="P19" t="s">
        <v>232</v>
      </c>
      <c r="Q19" t="s">
        <v>233</v>
      </c>
      <c r="R19" t="s">
        <v>22</v>
      </c>
      <c r="S19" t="s">
        <v>373</v>
      </c>
    </row>
    <row r="20" spans="1:20">
      <c r="A20" s="1" t="s">
        <v>361</v>
      </c>
      <c r="B20" s="1" t="s">
        <v>368</v>
      </c>
      <c r="C20" t="s">
        <v>77</v>
      </c>
      <c r="D20" s="2">
        <v>1088</v>
      </c>
      <c r="E20" t="s">
        <v>65</v>
      </c>
      <c r="F20" s="4">
        <v>110</v>
      </c>
      <c r="G20" s="4">
        <v>4</v>
      </c>
      <c r="H20" s="5">
        <v>19.899999999999999</v>
      </c>
      <c r="I20" s="6">
        <v>54.59</v>
      </c>
      <c r="J20" s="6">
        <v>62.78</v>
      </c>
      <c r="K20" s="6">
        <f t="shared" si="0"/>
        <v>34.271602000000001</v>
      </c>
      <c r="L20" s="6">
        <f t="shared" si="1"/>
        <v>31.746400416298016</v>
      </c>
      <c r="M20">
        <v>6</v>
      </c>
      <c r="N20" t="s">
        <v>69</v>
      </c>
      <c r="O20">
        <v>8</v>
      </c>
      <c r="P20" t="s">
        <v>232</v>
      </c>
      <c r="Q20" t="s">
        <v>233</v>
      </c>
      <c r="R20" t="s">
        <v>26</v>
      </c>
      <c r="S20" t="s">
        <v>375</v>
      </c>
    </row>
    <row r="21" spans="1:20">
      <c r="A21" s="1" t="s">
        <v>362</v>
      </c>
      <c r="B21" s="1" t="s">
        <v>368</v>
      </c>
      <c r="C21" t="s">
        <v>78</v>
      </c>
      <c r="D21" s="2">
        <v>990</v>
      </c>
      <c r="E21" t="s">
        <v>65</v>
      </c>
      <c r="F21" s="4">
        <v>110</v>
      </c>
      <c r="G21" s="4">
        <v>4</v>
      </c>
      <c r="H21" s="5">
        <v>16.5</v>
      </c>
      <c r="I21" s="6">
        <v>59.98</v>
      </c>
      <c r="J21" s="6">
        <v>63.21</v>
      </c>
      <c r="K21" s="6">
        <f t="shared" si="0"/>
        <v>37.913357999999995</v>
      </c>
      <c r="L21" s="6">
        <f t="shared" si="1"/>
        <v>26.112168697903261</v>
      </c>
      <c r="M21">
        <v>6</v>
      </c>
      <c r="N21" t="s">
        <v>79</v>
      </c>
      <c r="O21">
        <v>19</v>
      </c>
      <c r="P21" t="s">
        <v>232</v>
      </c>
      <c r="Q21" t="s">
        <v>233</v>
      </c>
      <c r="R21" t="s">
        <v>32</v>
      </c>
      <c r="S21" t="s">
        <v>374</v>
      </c>
    </row>
    <row r="22" spans="1:20">
      <c r="A22" s="1" t="s">
        <v>342</v>
      </c>
      <c r="B22" s="1" t="s">
        <v>368</v>
      </c>
      <c r="C22" t="s">
        <v>44</v>
      </c>
      <c r="D22" s="2">
        <v>634</v>
      </c>
      <c r="E22" t="s">
        <v>28</v>
      </c>
      <c r="F22" s="4">
        <v>110</v>
      </c>
      <c r="G22" s="4">
        <v>5</v>
      </c>
      <c r="H22" s="5">
        <v>15.6</v>
      </c>
      <c r="I22" s="6">
        <v>40.67</v>
      </c>
      <c r="J22" s="6">
        <v>63.1</v>
      </c>
      <c r="K22" s="6">
        <f t="shared" si="0"/>
        <v>25.662770000000002</v>
      </c>
      <c r="L22" s="6">
        <f t="shared" si="1"/>
        <v>24.705049376976842</v>
      </c>
      <c r="M22">
        <v>6</v>
      </c>
      <c r="N22" t="s">
        <v>38</v>
      </c>
      <c r="O22">
        <v>15</v>
      </c>
      <c r="P22" t="s">
        <v>232</v>
      </c>
      <c r="Q22" t="s">
        <v>233</v>
      </c>
      <c r="R22" t="s">
        <v>45</v>
      </c>
      <c r="S22" t="s">
        <v>373</v>
      </c>
    </row>
    <row r="23" spans="1:20">
      <c r="A23" s="1" t="s">
        <v>341</v>
      </c>
      <c r="B23" s="1" t="s">
        <v>368</v>
      </c>
      <c r="C23" t="s">
        <v>43</v>
      </c>
      <c r="D23" s="2">
        <v>998</v>
      </c>
      <c r="E23" t="s">
        <v>28</v>
      </c>
      <c r="F23" s="4">
        <v>110</v>
      </c>
      <c r="G23" s="4">
        <v>5</v>
      </c>
      <c r="H23" s="5">
        <v>21.9</v>
      </c>
      <c r="I23" s="6">
        <v>45.62</v>
      </c>
      <c r="J23" s="6">
        <v>48.07</v>
      </c>
      <c r="K23" s="6">
        <f t="shared" si="0"/>
        <v>21.929534</v>
      </c>
      <c r="L23" s="6">
        <f t="shared" si="1"/>
        <v>45.50940298138574</v>
      </c>
      <c r="M23">
        <v>6</v>
      </c>
      <c r="N23" t="s">
        <v>29</v>
      </c>
      <c r="O23">
        <v>13</v>
      </c>
      <c r="P23" t="s">
        <v>232</v>
      </c>
      <c r="Q23" t="s">
        <v>233</v>
      </c>
      <c r="R23" t="s">
        <v>22</v>
      </c>
      <c r="S23" t="s">
        <v>373</v>
      </c>
    </row>
    <row r="24" spans="1:20">
      <c r="A24" s="1" t="s">
        <v>348</v>
      </c>
      <c r="B24" s="1" t="s">
        <v>368</v>
      </c>
      <c r="C24" t="s">
        <v>55</v>
      </c>
      <c r="D24" s="2">
        <v>1215</v>
      </c>
      <c r="E24" t="s">
        <v>28</v>
      </c>
      <c r="F24" s="4">
        <v>110</v>
      </c>
      <c r="G24" s="4">
        <v>5</v>
      </c>
      <c r="H24" s="5">
        <v>20.3</v>
      </c>
      <c r="I24" s="6">
        <v>59.98</v>
      </c>
      <c r="J24" s="6">
        <v>63.21</v>
      </c>
      <c r="K24" s="6">
        <f t="shared" si="0"/>
        <v>37.913357999999995</v>
      </c>
      <c r="L24" s="6">
        <f t="shared" si="1"/>
        <v>32.046752492881275</v>
      </c>
      <c r="M24">
        <v>6</v>
      </c>
      <c r="N24" t="s">
        <v>56</v>
      </c>
      <c r="O24">
        <v>14</v>
      </c>
      <c r="P24" t="s">
        <v>232</v>
      </c>
      <c r="Q24" t="s">
        <v>233</v>
      </c>
      <c r="R24" t="s">
        <v>32</v>
      </c>
      <c r="S24" t="s">
        <v>374</v>
      </c>
    </row>
    <row r="25" spans="1:20">
      <c r="A25" s="1" t="s">
        <v>356</v>
      </c>
      <c r="B25" s="1" t="s">
        <v>368</v>
      </c>
      <c r="C25" t="s">
        <v>70</v>
      </c>
      <c r="D25" s="2">
        <v>740</v>
      </c>
      <c r="E25" t="s">
        <v>65</v>
      </c>
      <c r="F25" s="4">
        <v>110</v>
      </c>
      <c r="G25" s="4">
        <v>4</v>
      </c>
      <c r="H25" s="5">
        <v>13.6</v>
      </c>
      <c r="I25" s="6">
        <v>54.59</v>
      </c>
      <c r="J25" s="6">
        <v>50.12</v>
      </c>
      <c r="K25" s="6">
        <f t="shared" si="0"/>
        <v>27.360507999999999</v>
      </c>
      <c r="L25" s="6">
        <f t="shared" si="1"/>
        <v>27.046281450622189</v>
      </c>
      <c r="M25">
        <v>6</v>
      </c>
      <c r="N25" t="s">
        <v>71</v>
      </c>
      <c r="O25">
        <v>10</v>
      </c>
      <c r="P25" t="s">
        <v>232</v>
      </c>
      <c r="Q25" t="s">
        <v>233</v>
      </c>
      <c r="R25" t="s">
        <v>26</v>
      </c>
      <c r="S25" t="s">
        <v>375</v>
      </c>
    </row>
    <row r="26" spans="1:20">
      <c r="A26" s="1" t="s">
        <v>343</v>
      </c>
      <c r="B26" s="1" t="s">
        <v>368</v>
      </c>
      <c r="C26" t="s">
        <v>46</v>
      </c>
      <c r="D26" s="2">
        <v>919</v>
      </c>
      <c r="E26" t="s">
        <v>28</v>
      </c>
      <c r="F26" s="4">
        <v>110</v>
      </c>
      <c r="G26" s="4">
        <v>5</v>
      </c>
      <c r="H26" s="5">
        <v>16.8</v>
      </c>
      <c r="I26" s="6">
        <v>54.59</v>
      </c>
      <c r="J26" s="6">
        <v>62.78</v>
      </c>
      <c r="K26" s="6">
        <f t="shared" si="0"/>
        <v>34.271602000000001</v>
      </c>
      <c r="L26" s="6">
        <f t="shared" si="1"/>
        <v>26.815204028104667</v>
      </c>
      <c r="M26">
        <v>6</v>
      </c>
      <c r="N26" t="s">
        <v>47</v>
      </c>
      <c r="O26">
        <v>5</v>
      </c>
      <c r="P26" t="s">
        <v>232</v>
      </c>
      <c r="Q26" t="s">
        <v>233</v>
      </c>
      <c r="R26" t="s">
        <v>26</v>
      </c>
      <c r="S26" t="s">
        <v>375</v>
      </c>
    </row>
    <row r="27" spans="1:20">
      <c r="A27" s="1" t="s">
        <v>334</v>
      </c>
      <c r="B27" s="1" t="s">
        <v>368</v>
      </c>
      <c r="C27" t="s">
        <v>27</v>
      </c>
      <c r="D27" s="2">
        <v>561</v>
      </c>
      <c r="E27" t="s">
        <v>28</v>
      </c>
      <c r="F27" s="4">
        <v>110</v>
      </c>
      <c r="G27" s="4">
        <v>5</v>
      </c>
      <c r="H27" s="5">
        <v>15.2</v>
      </c>
      <c r="I27" s="6">
        <v>42.15</v>
      </c>
      <c r="J27" s="6">
        <v>63.1</v>
      </c>
      <c r="K27" s="6">
        <f t="shared" si="0"/>
        <v>26.59665</v>
      </c>
      <c r="L27" s="6">
        <f t="shared" si="1"/>
        <v>21.092881998296779</v>
      </c>
      <c r="M27">
        <v>6</v>
      </c>
      <c r="N27" t="s">
        <v>29</v>
      </c>
      <c r="O27">
        <v>13</v>
      </c>
      <c r="P27" t="s">
        <v>232</v>
      </c>
      <c r="Q27" t="s">
        <v>233</v>
      </c>
      <c r="R27" t="s">
        <v>22</v>
      </c>
      <c r="S27" t="s">
        <v>373</v>
      </c>
      <c r="T27">
        <v>87</v>
      </c>
    </row>
    <row r="28" spans="1:20">
      <c r="A28" s="1" t="s">
        <v>338</v>
      </c>
      <c r="B28" s="1" t="s">
        <v>368</v>
      </c>
      <c r="C28" t="s">
        <v>37</v>
      </c>
      <c r="D28" s="2">
        <v>1215</v>
      </c>
      <c r="E28" t="s">
        <v>28</v>
      </c>
      <c r="F28" s="4">
        <v>110</v>
      </c>
      <c r="G28" s="4">
        <v>5</v>
      </c>
      <c r="H28" s="5">
        <v>23.2</v>
      </c>
      <c r="I28" s="6">
        <v>56.98</v>
      </c>
      <c r="J28" s="6">
        <v>63.15</v>
      </c>
      <c r="K28" s="6">
        <f t="shared" si="0"/>
        <v>35.982869999999998</v>
      </c>
      <c r="L28" s="6">
        <f t="shared" si="1"/>
        <v>33.766067020223794</v>
      </c>
      <c r="M28">
        <v>6</v>
      </c>
      <c r="N28" t="s">
        <v>38</v>
      </c>
      <c r="O28">
        <v>15</v>
      </c>
      <c r="P28" t="s">
        <v>232</v>
      </c>
      <c r="Q28" t="s">
        <v>233</v>
      </c>
      <c r="R28" t="s">
        <v>32</v>
      </c>
      <c r="S28" t="s">
        <v>374</v>
      </c>
      <c r="T28">
        <v>150</v>
      </c>
    </row>
    <row r="29" spans="1:20">
      <c r="A29" s="1" t="s">
        <v>347</v>
      </c>
      <c r="B29" s="1" t="s">
        <v>368</v>
      </c>
      <c r="C29" t="s">
        <v>54</v>
      </c>
      <c r="D29" s="2">
        <v>550</v>
      </c>
      <c r="E29" t="s">
        <v>28</v>
      </c>
      <c r="F29" s="4">
        <v>110</v>
      </c>
      <c r="G29" s="4">
        <v>5</v>
      </c>
      <c r="H29" s="5">
        <v>13</v>
      </c>
      <c r="I29" s="6">
        <v>42.15</v>
      </c>
      <c r="J29" s="6">
        <v>63.1</v>
      </c>
      <c r="K29" s="6">
        <f t="shared" si="0"/>
        <v>26.59665</v>
      </c>
      <c r="L29" s="6">
        <f t="shared" si="1"/>
        <v>20.679296076761545</v>
      </c>
      <c r="M29">
        <v>6</v>
      </c>
      <c r="N29" t="s">
        <v>47</v>
      </c>
      <c r="O29">
        <v>5</v>
      </c>
      <c r="P29" t="s">
        <v>232</v>
      </c>
      <c r="Q29" t="s">
        <v>233</v>
      </c>
      <c r="R29" t="s">
        <v>22</v>
      </c>
      <c r="S29" t="s">
        <v>373</v>
      </c>
    </row>
    <row r="30" spans="1:20">
      <c r="A30" s="1" t="s">
        <v>365</v>
      </c>
      <c r="B30" s="1" t="s">
        <v>368</v>
      </c>
      <c r="C30" t="s">
        <v>83</v>
      </c>
      <c r="D30" s="2">
        <v>845</v>
      </c>
      <c r="E30" t="s">
        <v>84</v>
      </c>
      <c r="F30" s="4">
        <v>110</v>
      </c>
      <c r="G30" s="4">
        <v>3</v>
      </c>
      <c r="H30" s="5">
        <v>19.100000000000001</v>
      </c>
      <c r="I30" s="6">
        <v>44.14</v>
      </c>
      <c r="J30" s="6">
        <v>49.68</v>
      </c>
      <c r="K30" s="6">
        <f t="shared" si="0"/>
        <v>21.928751999999999</v>
      </c>
      <c r="L30" s="6">
        <f t="shared" si="1"/>
        <v>38.533884646057381</v>
      </c>
      <c r="M30">
        <v>6</v>
      </c>
      <c r="N30" t="s">
        <v>85</v>
      </c>
      <c r="O30">
        <v>4</v>
      </c>
      <c r="P30" t="s">
        <v>232</v>
      </c>
      <c r="Q30" t="s">
        <v>233</v>
      </c>
      <c r="R30" t="s">
        <v>86</v>
      </c>
      <c r="S30" t="s">
        <v>375</v>
      </c>
      <c r="T30">
        <v>100</v>
      </c>
    </row>
    <row r="31" spans="1:20">
      <c r="A31" s="1" t="s">
        <v>335</v>
      </c>
      <c r="B31" s="1" t="s">
        <v>368</v>
      </c>
      <c r="C31" t="s">
        <v>30</v>
      </c>
      <c r="D31" s="2">
        <v>840</v>
      </c>
      <c r="E31" t="s">
        <v>28</v>
      </c>
      <c r="F31" s="4">
        <v>110</v>
      </c>
      <c r="G31" s="4">
        <v>5</v>
      </c>
      <c r="H31" s="5">
        <v>14</v>
      </c>
      <c r="I31" s="6">
        <v>59.98</v>
      </c>
      <c r="J31" s="6">
        <v>63.21</v>
      </c>
      <c r="K31" s="6">
        <f t="shared" si="0"/>
        <v>37.913357999999995</v>
      </c>
      <c r="L31" s="6">
        <f t="shared" si="1"/>
        <v>22.155779501251249</v>
      </c>
      <c r="M31">
        <v>6</v>
      </c>
      <c r="N31" t="s">
        <v>31</v>
      </c>
      <c r="O31">
        <v>20</v>
      </c>
      <c r="P31" t="s">
        <v>232</v>
      </c>
      <c r="Q31" t="s">
        <v>233</v>
      </c>
      <c r="R31" t="s">
        <v>32</v>
      </c>
      <c r="S31" t="s">
        <v>374</v>
      </c>
    </row>
    <row r="32" spans="1:20">
      <c r="A32" s="1" t="s">
        <v>349</v>
      </c>
      <c r="B32" s="1" t="s">
        <v>368</v>
      </c>
      <c r="C32" t="s">
        <v>57</v>
      </c>
      <c r="D32" s="2">
        <v>909</v>
      </c>
      <c r="E32" t="s">
        <v>28</v>
      </c>
      <c r="F32" s="4">
        <v>110</v>
      </c>
      <c r="G32" s="4">
        <v>5</v>
      </c>
      <c r="H32" s="5">
        <v>13.1</v>
      </c>
      <c r="I32" s="6">
        <v>69.510000000000005</v>
      </c>
      <c r="J32" s="6">
        <v>44.53</v>
      </c>
      <c r="K32" s="6">
        <f t="shared" si="0"/>
        <v>30.952803000000003</v>
      </c>
      <c r="L32" s="6">
        <f t="shared" si="1"/>
        <v>29.367291873372498</v>
      </c>
      <c r="M32">
        <v>6</v>
      </c>
      <c r="N32" t="s">
        <v>58</v>
      </c>
      <c r="O32">
        <v>8</v>
      </c>
      <c r="P32" t="s">
        <v>232</v>
      </c>
      <c r="Q32" t="s">
        <v>234</v>
      </c>
      <c r="R32" t="s">
        <v>32</v>
      </c>
      <c r="S32" t="s">
        <v>374</v>
      </c>
      <c r="T32">
        <v>175</v>
      </c>
    </row>
    <row r="33" spans="1:20">
      <c r="A33" s="1" t="s">
        <v>353</v>
      </c>
      <c r="B33" s="1" t="s">
        <v>368</v>
      </c>
      <c r="C33" t="s">
        <v>64</v>
      </c>
      <c r="D33" s="2">
        <v>753</v>
      </c>
      <c r="E33" t="s">
        <v>65</v>
      </c>
      <c r="F33" s="4">
        <v>110</v>
      </c>
      <c r="G33" s="4">
        <v>4</v>
      </c>
      <c r="H33" s="5">
        <v>13.8</v>
      </c>
      <c r="I33" s="6">
        <v>54.59</v>
      </c>
      <c r="J33" s="6">
        <v>50.12</v>
      </c>
      <c r="K33" s="6">
        <f t="shared" si="0"/>
        <v>27.360507999999999</v>
      </c>
      <c r="L33" s="6">
        <f t="shared" si="1"/>
        <v>27.521418827457445</v>
      </c>
      <c r="M33">
        <v>6</v>
      </c>
      <c r="N33" t="s">
        <v>63</v>
      </c>
      <c r="O33">
        <v>18</v>
      </c>
      <c r="P33" t="s">
        <v>232</v>
      </c>
      <c r="Q33" t="s">
        <v>233</v>
      </c>
      <c r="R33" t="s">
        <v>26</v>
      </c>
      <c r="S33" t="s">
        <v>375</v>
      </c>
    </row>
    <row r="34" spans="1:20">
      <c r="A34" s="1" t="s">
        <v>333</v>
      </c>
      <c r="B34" s="1" t="s">
        <v>368</v>
      </c>
      <c r="C34" t="s">
        <v>24</v>
      </c>
      <c r="D34" s="2">
        <v>1068.8</v>
      </c>
      <c r="E34" t="s">
        <v>20</v>
      </c>
      <c r="F34" s="4">
        <v>110</v>
      </c>
      <c r="G34" s="4">
        <v>6</v>
      </c>
      <c r="H34" s="5">
        <v>19.600000000000001</v>
      </c>
      <c r="I34" s="6">
        <v>54.59</v>
      </c>
      <c r="J34" s="6">
        <v>62.78</v>
      </c>
      <c r="K34" s="6">
        <f t="shared" si="0"/>
        <v>34.271602000000001</v>
      </c>
      <c r="L34" s="6">
        <f t="shared" si="1"/>
        <v>31.186169820716287</v>
      </c>
      <c r="M34">
        <v>6</v>
      </c>
      <c r="N34" t="s">
        <v>25</v>
      </c>
      <c r="O34">
        <v>15</v>
      </c>
      <c r="P34" t="s">
        <v>232</v>
      </c>
      <c r="Q34" t="s">
        <v>233</v>
      </c>
      <c r="R34" t="s">
        <v>26</v>
      </c>
      <c r="S34" t="s">
        <v>375</v>
      </c>
    </row>
    <row r="35" spans="1:20">
      <c r="A35" s="1" t="s">
        <v>363</v>
      </c>
      <c r="B35" s="1" t="s">
        <v>368</v>
      </c>
      <c r="C35" t="s">
        <v>80</v>
      </c>
      <c r="D35" s="2">
        <v>900</v>
      </c>
      <c r="E35" t="s">
        <v>65</v>
      </c>
      <c r="F35" s="4">
        <v>110</v>
      </c>
      <c r="G35" s="4">
        <v>4</v>
      </c>
      <c r="H35" s="5">
        <v>19.7</v>
      </c>
      <c r="I35" s="6">
        <v>45.62</v>
      </c>
      <c r="J35" s="6">
        <v>63.36</v>
      </c>
      <c r="K35" s="6">
        <f t="shared" si="0"/>
        <v>28.904831999999995</v>
      </c>
      <c r="L35" s="6">
        <f t="shared" si="1"/>
        <v>31.136662548324104</v>
      </c>
      <c r="M35">
        <v>6</v>
      </c>
      <c r="N35" t="s">
        <v>81</v>
      </c>
      <c r="O35">
        <v>6</v>
      </c>
      <c r="P35" t="s">
        <v>232</v>
      </c>
      <c r="Q35" t="s">
        <v>233</v>
      </c>
      <c r="R35" t="s">
        <v>22</v>
      </c>
      <c r="S35" t="s">
        <v>373</v>
      </c>
    </row>
    <row r="36" spans="1:20">
      <c r="A36" s="1" t="s">
        <v>243</v>
      </c>
      <c r="B36" t="s">
        <v>372</v>
      </c>
      <c r="C36" t="s">
        <v>96</v>
      </c>
      <c r="D36" s="2">
        <v>865</v>
      </c>
      <c r="E36" t="s">
        <v>20</v>
      </c>
      <c r="F36" s="4">
        <v>110</v>
      </c>
      <c r="G36" s="4">
        <v>6</v>
      </c>
      <c r="H36" s="5">
        <v>14.1</v>
      </c>
      <c r="I36" s="6">
        <v>61.18</v>
      </c>
      <c r="J36" s="6">
        <v>53.29</v>
      </c>
      <c r="K36" s="6">
        <f t="shared" si="0"/>
        <v>32.602822000000003</v>
      </c>
      <c r="L36" s="6">
        <f t="shared" si="1"/>
        <v>26.531445652158574</v>
      </c>
      <c r="M36">
        <v>6</v>
      </c>
      <c r="N36" t="s">
        <v>97</v>
      </c>
      <c r="O36">
        <v>7</v>
      </c>
      <c r="P36" t="s">
        <v>232</v>
      </c>
      <c r="Q36" t="s">
        <v>233</v>
      </c>
      <c r="R36" t="s">
        <v>32</v>
      </c>
      <c r="S36" t="s">
        <v>374</v>
      </c>
      <c r="T36">
        <v>103</v>
      </c>
    </row>
    <row r="37" spans="1:20">
      <c r="A37" s="1" t="s">
        <v>254</v>
      </c>
      <c r="B37" t="s">
        <v>372</v>
      </c>
      <c r="C37" t="s">
        <v>113</v>
      </c>
      <c r="D37" s="2">
        <v>1150</v>
      </c>
      <c r="E37" t="s">
        <v>20</v>
      </c>
      <c r="F37" s="4">
        <v>110</v>
      </c>
      <c r="G37" s="4">
        <v>6</v>
      </c>
      <c r="H37" s="5">
        <v>18.8</v>
      </c>
      <c r="I37" s="6">
        <v>61.19</v>
      </c>
      <c r="J37" s="6">
        <v>65.290000000000006</v>
      </c>
      <c r="K37" s="6">
        <f t="shared" si="0"/>
        <v>39.950951000000003</v>
      </c>
      <c r="L37" s="6">
        <f t="shared" si="1"/>
        <v>28.785297251121754</v>
      </c>
      <c r="M37">
        <v>6</v>
      </c>
      <c r="N37" t="s">
        <v>95</v>
      </c>
      <c r="O37">
        <v>21</v>
      </c>
      <c r="P37" t="s">
        <v>232</v>
      </c>
      <c r="Q37" t="s">
        <v>233</v>
      </c>
      <c r="R37" t="s">
        <v>32</v>
      </c>
      <c r="S37" t="s">
        <v>374</v>
      </c>
    </row>
    <row r="38" spans="1:20">
      <c r="A38" s="1" t="s">
        <v>279</v>
      </c>
      <c r="B38" t="s">
        <v>372</v>
      </c>
      <c r="C38" t="s">
        <v>156</v>
      </c>
      <c r="D38" s="2">
        <v>970</v>
      </c>
      <c r="E38" t="s">
        <v>28</v>
      </c>
      <c r="F38" s="4">
        <v>110</v>
      </c>
      <c r="G38" s="4">
        <v>5</v>
      </c>
      <c r="H38" s="5">
        <v>21.4</v>
      </c>
      <c r="I38" s="6">
        <v>45.24</v>
      </c>
      <c r="J38" s="6">
        <v>64.489999999999995</v>
      </c>
      <c r="K38" s="6">
        <f t="shared" si="0"/>
        <v>29.175276</v>
      </c>
      <c r="L38" s="6">
        <f t="shared" si="1"/>
        <v>33.247329005559365</v>
      </c>
      <c r="M38">
        <v>6</v>
      </c>
      <c r="N38" t="s">
        <v>95</v>
      </c>
      <c r="O38">
        <v>21</v>
      </c>
      <c r="P38" t="s">
        <v>232</v>
      </c>
      <c r="Q38" t="s">
        <v>233</v>
      </c>
      <c r="R38" t="s">
        <v>22</v>
      </c>
      <c r="S38" t="s">
        <v>373</v>
      </c>
    </row>
    <row r="39" spans="1:20">
      <c r="A39" s="1" t="s">
        <v>276</v>
      </c>
      <c r="B39" t="s">
        <v>372</v>
      </c>
      <c r="C39" t="s">
        <v>151</v>
      </c>
      <c r="D39" s="2">
        <v>600</v>
      </c>
      <c r="E39" t="s">
        <v>28</v>
      </c>
      <c r="F39" s="4">
        <v>110</v>
      </c>
      <c r="G39" s="4">
        <v>5</v>
      </c>
      <c r="H39" s="5">
        <v>8.3000000000000007</v>
      </c>
      <c r="I39" s="6">
        <v>71.930000000000007</v>
      </c>
      <c r="J39" s="6">
        <v>65.290000000000006</v>
      </c>
      <c r="K39" s="6">
        <f t="shared" si="0"/>
        <v>46.963097000000005</v>
      </c>
      <c r="L39" s="6">
        <f t="shared" si="1"/>
        <v>12.775988772631411</v>
      </c>
      <c r="M39">
        <v>6</v>
      </c>
      <c r="N39" t="s">
        <v>152</v>
      </c>
      <c r="O39">
        <v>22</v>
      </c>
      <c r="P39" t="s">
        <v>232</v>
      </c>
      <c r="Q39" t="s">
        <v>234</v>
      </c>
      <c r="R39" t="s">
        <v>32</v>
      </c>
      <c r="S39" t="s">
        <v>374</v>
      </c>
    </row>
    <row r="40" spans="1:20">
      <c r="A40" s="1" t="s">
        <v>285</v>
      </c>
      <c r="B40" t="s">
        <v>372</v>
      </c>
      <c r="C40" t="s">
        <v>164</v>
      </c>
      <c r="D40" s="2">
        <v>1000</v>
      </c>
      <c r="E40" t="s">
        <v>28</v>
      </c>
      <c r="F40" s="4">
        <v>110</v>
      </c>
      <c r="G40" s="4">
        <v>5</v>
      </c>
      <c r="H40" s="5">
        <v>18.600000000000001</v>
      </c>
      <c r="I40" s="6">
        <v>53.9</v>
      </c>
      <c r="J40" s="6">
        <v>50.97</v>
      </c>
      <c r="K40" s="6">
        <f t="shared" si="0"/>
        <v>27.472829999999998</v>
      </c>
      <c r="L40" s="6">
        <f t="shared" si="1"/>
        <v>36.399599167613971</v>
      </c>
      <c r="M40">
        <v>6</v>
      </c>
      <c r="N40" t="s">
        <v>165</v>
      </c>
      <c r="O40">
        <v>11</v>
      </c>
      <c r="P40" t="s">
        <v>232</v>
      </c>
      <c r="Q40" t="s">
        <v>233</v>
      </c>
      <c r="R40" t="s">
        <v>26</v>
      </c>
      <c r="S40" t="s">
        <v>375</v>
      </c>
    </row>
    <row r="41" spans="1:20">
      <c r="A41" s="1" t="s">
        <v>278</v>
      </c>
      <c r="B41" t="s">
        <v>372</v>
      </c>
      <c r="C41" t="s">
        <v>154</v>
      </c>
      <c r="D41" s="2">
        <v>808.8</v>
      </c>
      <c r="E41" t="s">
        <v>28</v>
      </c>
      <c r="F41" s="4">
        <v>110</v>
      </c>
      <c r="G41" s="4">
        <v>5</v>
      </c>
      <c r="H41" s="5">
        <v>13.7</v>
      </c>
      <c r="I41" s="6">
        <v>58.82</v>
      </c>
      <c r="J41" s="6">
        <v>50.9</v>
      </c>
      <c r="K41" s="6">
        <f t="shared" si="0"/>
        <v>29.93938</v>
      </c>
      <c r="L41" s="6">
        <f t="shared" si="1"/>
        <v>27.014587476427366</v>
      </c>
      <c r="M41">
        <v>6</v>
      </c>
      <c r="N41" t="s">
        <v>155</v>
      </c>
      <c r="O41">
        <v>11</v>
      </c>
      <c r="P41" t="s">
        <v>232</v>
      </c>
      <c r="Q41" t="s">
        <v>233</v>
      </c>
      <c r="R41" t="s">
        <v>26</v>
      </c>
      <c r="S41" t="s">
        <v>375</v>
      </c>
    </row>
    <row r="42" spans="1:20">
      <c r="A42" s="1" t="s">
        <v>284</v>
      </c>
      <c r="B42" t="s">
        <v>372</v>
      </c>
      <c r="C42" t="s">
        <v>162</v>
      </c>
      <c r="D42" s="2">
        <v>1278</v>
      </c>
      <c r="E42" t="s">
        <v>28</v>
      </c>
      <c r="F42" s="4">
        <v>110</v>
      </c>
      <c r="G42" s="4">
        <v>5</v>
      </c>
      <c r="H42" s="5">
        <v>21.7</v>
      </c>
      <c r="I42" s="6">
        <v>58.82</v>
      </c>
      <c r="J42" s="6">
        <v>63.09</v>
      </c>
      <c r="K42" s="6">
        <f t="shared" si="0"/>
        <v>37.109538000000001</v>
      </c>
      <c r="L42" s="6">
        <f t="shared" si="1"/>
        <v>34.438585573336965</v>
      </c>
      <c r="M42">
        <v>6</v>
      </c>
      <c r="N42" t="s">
        <v>163</v>
      </c>
      <c r="O42">
        <v>17</v>
      </c>
      <c r="P42" t="s">
        <v>232</v>
      </c>
      <c r="Q42" t="s">
        <v>233</v>
      </c>
      <c r="R42" t="s">
        <v>26</v>
      </c>
      <c r="S42" t="s">
        <v>375</v>
      </c>
    </row>
    <row r="43" spans="1:20">
      <c r="A43" s="1" t="s">
        <v>256</v>
      </c>
      <c r="B43" t="s">
        <v>372</v>
      </c>
      <c r="C43" t="s">
        <v>116</v>
      </c>
      <c r="D43" s="2">
        <v>885</v>
      </c>
      <c r="E43" t="s">
        <v>20</v>
      </c>
      <c r="F43" s="4">
        <v>110</v>
      </c>
      <c r="G43" s="4">
        <v>6</v>
      </c>
      <c r="H43" s="5">
        <v>14.1</v>
      </c>
      <c r="I43" s="6">
        <v>76.36</v>
      </c>
      <c r="J43" s="6">
        <v>62.71</v>
      </c>
      <c r="K43" s="6">
        <f t="shared" si="0"/>
        <v>47.885356000000002</v>
      </c>
      <c r="L43" s="6">
        <f t="shared" si="1"/>
        <v>18.481641861449248</v>
      </c>
      <c r="M43">
        <v>6</v>
      </c>
      <c r="N43" t="s">
        <v>117</v>
      </c>
      <c r="O43">
        <v>14</v>
      </c>
      <c r="P43" t="s">
        <v>232</v>
      </c>
      <c r="Q43" t="s">
        <v>237</v>
      </c>
      <c r="R43" t="s">
        <v>26</v>
      </c>
      <c r="S43" t="s">
        <v>375</v>
      </c>
      <c r="T43">
        <v>265</v>
      </c>
    </row>
    <row r="44" spans="1:20">
      <c r="A44" s="1" t="s">
        <v>287</v>
      </c>
      <c r="B44" t="s">
        <v>372</v>
      </c>
      <c r="C44" t="s">
        <v>168</v>
      </c>
      <c r="D44" s="2">
        <v>520</v>
      </c>
      <c r="E44" t="s">
        <v>28</v>
      </c>
      <c r="F44" s="4">
        <v>110</v>
      </c>
      <c r="G44" s="4">
        <v>5</v>
      </c>
      <c r="H44" s="5">
        <v>14.7</v>
      </c>
      <c r="I44" s="6">
        <v>35.340000000000003</v>
      </c>
      <c r="J44" s="6">
        <v>61.82</v>
      </c>
      <c r="K44" s="6">
        <f t="shared" si="0"/>
        <v>21.847188000000003</v>
      </c>
      <c r="L44" s="6">
        <f t="shared" si="1"/>
        <v>23.80169017632841</v>
      </c>
      <c r="M44">
        <v>6</v>
      </c>
      <c r="N44" t="s">
        <v>169</v>
      </c>
      <c r="O44">
        <v>7</v>
      </c>
      <c r="P44" t="s">
        <v>235</v>
      </c>
      <c r="Q44" t="s">
        <v>236</v>
      </c>
      <c r="R44" t="s">
        <v>45</v>
      </c>
      <c r="S44" t="s">
        <v>373</v>
      </c>
    </row>
    <row r="45" spans="1:20">
      <c r="A45" s="1" t="s">
        <v>283</v>
      </c>
      <c r="B45" t="s">
        <v>372</v>
      </c>
      <c r="C45" t="s">
        <v>161</v>
      </c>
      <c r="D45" s="2">
        <v>1300</v>
      </c>
      <c r="E45" t="s">
        <v>28</v>
      </c>
      <c r="F45" s="4">
        <v>110</v>
      </c>
      <c r="G45" s="4">
        <v>5</v>
      </c>
      <c r="H45" s="5">
        <v>22</v>
      </c>
      <c r="I45" s="6">
        <v>59.08</v>
      </c>
      <c r="J45" s="6">
        <v>50.55</v>
      </c>
      <c r="K45" s="6">
        <f t="shared" si="0"/>
        <v>29.864939999999997</v>
      </c>
      <c r="L45" s="6">
        <f t="shared" si="1"/>
        <v>43.529302252072164</v>
      </c>
      <c r="M45">
        <v>6</v>
      </c>
      <c r="N45" t="s">
        <v>155</v>
      </c>
      <c r="O45">
        <v>11</v>
      </c>
      <c r="P45" t="s">
        <v>232</v>
      </c>
      <c r="Q45" t="s">
        <v>233</v>
      </c>
      <c r="R45" t="s">
        <v>26</v>
      </c>
      <c r="S45" t="s">
        <v>375</v>
      </c>
    </row>
    <row r="46" spans="1:20">
      <c r="A46" s="1" t="s">
        <v>308</v>
      </c>
      <c r="B46" t="s">
        <v>372</v>
      </c>
      <c r="C46" t="s">
        <v>200</v>
      </c>
      <c r="D46" s="2">
        <v>790</v>
      </c>
      <c r="E46" t="s">
        <v>65</v>
      </c>
      <c r="F46" s="4">
        <v>110</v>
      </c>
      <c r="G46" s="4">
        <v>4</v>
      </c>
      <c r="H46" s="5">
        <v>13.4</v>
      </c>
      <c r="I46" s="6">
        <v>59.05</v>
      </c>
      <c r="J46" s="6">
        <v>62.79</v>
      </c>
      <c r="K46" s="6">
        <f t="shared" si="0"/>
        <v>37.077494999999999</v>
      </c>
      <c r="L46" s="6">
        <f t="shared" si="1"/>
        <v>21.30672527904056</v>
      </c>
      <c r="M46">
        <v>6</v>
      </c>
      <c r="N46" t="s">
        <v>201</v>
      </c>
      <c r="O46">
        <v>19</v>
      </c>
      <c r="P46" t="s">
        <v>232</v>
      </c>
      <c r="Q46" t="s">
        <v>233</v>
      </c>
      <c r="R46" t="s">
        <v>26</v>
      </c>
      <c r="S46" t="s">
        <v>375</v>
      </c>
    </row>
    <row r="47" spans="1:20">
      <c r="A47" s="1" t="s">
        <v>264</v>
      </c>
      <c r="B47" t="s">
        <v>372</v>
      </c>
      <c r="C47" t="s">
        <v>130</v>
      </c>
      <c r="D47" s="2">
        <v>970</v>
      </c>
      <c r="E47" t="s">
        <v>28</v>
      </c>
      <c r="F47" s="4">
        <v>110</v>
      </c>
      <c r="G47" s="4">
        <v>5</v>
      </c>
      <c r="H47" s="5">
        <v>12.3</v>
      </c>
      <c r="I47" s="6">
        <v>78.709999999999994</v>
      </c>
      <c r="J47" s="6">
        <v>37.950000000000003</v>
      </c>
      <c r="K47" s="6">
        <f t="shared" si="0"/>
        <v>29.870445</v>
      </c>
      <c r="L47" s="6">
        <f t="shared" si="1"/>
        <v>32.473570447310038</v>
      </c>
      <c r="M47">
        <v>6</v>
      </c>
      <c r="N47" t="s">
        <v>131</v>
      </c>
      <c r="O47">
        <v>18</v>
      </c>
      <c r="P47" t="s">
        <v>232</v>
      </c>
      <c r="Q47" t="s">
        <v>237</v>
      </c>
      <c r="R47" t="s">
        <v>26</v>
      </c>
      <c r="S47" t="s">
        <v>375</v>
      </c>
    </row>
    <row r="48" spans="1:20">
      <c r="A48" s="1" t="s">
        <v>272</v>
      </c>
      <c r="B48" t="s">
        <v>372</v>
      </c>
      <c r="C48" t="s">
        <v>144</v>
      </c>
      <c r="D48" s="2">
        <v>1350</v>
      </c>
      <c r="E48" t="s">
        <v>28</v>
      </c>
      <c r="F48" s="4">
        <v>110</v>
      </c>
      <c r="G48" s="4">
        <v>5</v>
      </c>
      <c r="H48" s="5">
        <v>22.9</v>
      </c>
      <c r="I48" s="6">
        <v>59.05</v>
      </c>
      <c r="J48" s="6">
        <v>62.79</v>
      </c>
      <c r="K48" s="6">
        <f t="shared" si="0"/>
        <v>37.077494999999999</v>
      </c>
      <c r="L48" s="6">
        <f t="shared" si="1"/>
        <v>36.41022674266425</v>
      </c>
      <c r="M48">
        <v>6</v>
      </c>
      <c r="N48" t="s">
        <v>117</v>
      </c>
      <c r="O48">
        <v>14</v>
      </c>
      <c r="P48" t="s">
        <v>232</v>
      </c>
      <c r="Q48" t="s">
        <v>233</v>
      </c>
      <c r="R48" t="s">
        <v>26</v>
      </c>
      <c r="S48" t="s">
        <v>375</v>
      </c>
    </row>
    <row r="49" spans="1:20">
      <c r="A49" s="1" t="s">
        <v>312</v>
      </c>
      <c r="B49" t="s">
        <v>372</v>
      </c>
      <c r="C49" t="s">
        <v>207</v>
      </c>
      <c r="D49" s="2">
        <v>508</v>
      </c>
      <c r="E49" t="s">
        <v>65</v>
      </c>
      <c r="F49" s="4">
        <v>110</v>
      </c>
      <c r="G49" s="4">
        <v>4</v>
      </c>
      <c r="H49" s="5">
        <v>14.4</v>
      </c>
      <c r="I49" s="6">
        <v>35.340000000000003</v>
      </c>
      <c r="J49" s="6">
        <v>61.82</v>
      </c>
      <c r="K49" s="6">
        <f t="shared" si="0"/>
        <v>21.847188000000003</v>
      </c>
      <c r="L49" s="6">
        <f t="shared" si="1"/>
        <v>23.252420403028523</v>
      </c>
      <c r="M49">
        <v>6</v>
      </c>
      <c r="N49" t="s">
        <v>133</v>
      </c>
      <c r="O49">
        <v>5</v>
      </c>
      <c r="P49" t="s">
        <v>235</v>
      </c>
      <c r="Q49" t="s">
        <v>236</v>
      </c>
      <c r="R49" t="s">
        <v>22</v>
      </c>
      <c r="S49" t="s">
        <v>373</v>
      </c>
    </row>
    <row r="50" spans="1:20">
      <c r="A50" s="1" t="s">
        <v>255</v>
      </c>
      <c r="B50" t="s">
        <v>372</v>
      </c>
      <c r="C50" t="s">
        <v>114</v>
      </c>
      <c r="D50" s="2">
        <v>721</v>
      </c>
      <c r="E50" t="s">
        <v>20</v>
      </c>
      <c r="F50" s="4">
        <v>110</v>
      </c>
      <c r="G50" s="4">
        <v>6</v>
      </c>
      <c r="H50" s="5">
        <v>13.5</v>
      </c>
      <c r="I50" s="6">
        <v>57.03</v>
      </c>
      <c r="J50" s="6">
        <v>65.02</v>
      </c>
      <c r="K50" s="6">
        <f t="shared" si="0"/>
        <v>37.080905999999999</v>
      </c>
      <c r="L50" s="6">
        <f t="shared" si="1"/>
        <v>19.443969357167273</v>
      </c>
      <c r="M50">
        <v>6</v>
      </c>
      <c r="N50" t="s">
        <v>110</v>
      </c>
      <c r="O50">
        <v>5</v>
      </c>
      <c r="P50" t="s">
        <v>232</v>
      </c>
      <c r="Q50" t="s">
        <v>233</v>
      </c>
      <c r="R50" t="s">
        <v>115</v>
      </c>
      <c r="S50" t="s">
        <v>375</v>
      </c>
      <c r="T50">
        <v>85</v>
      </c>
    </row>
    <row r="51" spans="1:20">
      <c r="A51" s="1" t="s">
        <v>252</v>
      </c>
      <c r="B51" t="s">
        <v>372</v>
      </c>
      <c r="C51" t="s">
        <v>109</v>
      </c>
      <c r="D51" s="2">
        <v>900</v>
      </c>
      <c r="E51" t="s">
        <v>20</v>
      </c>
      <c r="F51" s="4">
        <v>110</v>
      </c>
      <c r="G51" s="4">
        <v>6</v>
      </c>
      <c r="H51" s="5">
        <v>12.3</v>
      </c>
      <c r="I51" s="6">
        <v>72.930000000000007</v>
      </c>
      <c r="J51" s="6">
        <v>44.7</v>
      </c>
      <c r="K51" s="6">
        <f t="shared" si="0"/>
        <v>32.599710000000002</v>
      </c>
      <c r="L51" s="6">
        <f t="shared" si="1"/>
        <v>27.607607552337122</v>
      </c>
      <c r="M51">
        <v>6</v>
      </c>
      <c r="N51" t="s">
        <v>110</v>
      </c>
      <c r="O51">
        <v>5</v>
      </c>
      <c r="P51" t="s">
        <v>235</v>
      </c>
      <c r="Q51" t="s">
        <v>236</v>
      </c>
      <c r="R51" t="s">
        <v>32</v>
      </c>
      <c r="S51" t="s">
        <v>374</v>
      </c>
    </row>
    <row r="52" spans="1:20">
      <c r="A52" s="1" t="s">
        <v>296</v>
      </c>
      <c r="B52" t="s">
        <v>372</v>
      </c>
      <c r="C52" t="s">
        <v>180</v>
      </c>
      <c r="D52" s="2">
        <v>850</v>
      </c>
      <c r="E52" t="s">
        <v>28</v>
      </c>
      <c r="F52" s="4">
        <v>110</v>
      </c>
      <c r="G52" s="4">
        <v>5</v>
      </c>
      <c r="H52" s="5">
        <v>17.600000000000001</v>
      </c>
      <c r="I52" s="6">
        <v>54.47</v>
      </c>
      <c r="J52" s="6">
        <v>63.74</v>
      </c>
      <c r="K52" s="6">
        <f t="shared" si="0"/>
        <v>34.719177999999999</v>
      </c>
      <c r="L52" s="6">
        <f t="shared" si="1"/>
        <v>24.48214643791394</v>
      </c>
      <c r="M52">
        <v>6</v>
      </c>
      <c r="N52" t="s">
        <v>181</v>
      </c>
      <c r="O52">
        <v>9</v>
      </c>
      <c r="P52" t="s">
        <v>232</v>
      </c>
      <c r="Q52" t="s">
        <v>233</v>
      </c>
      <c r="R52" t="s">
        <v>26</v>
      </c>
      <c r="S52" t="s">
        <v>375</v>
      </c>
      <c r="T52">
        <v>90</v>
      </c>
    </row>
    <row r="53" spans="1:20">
      <c r="A53" s="1" t="s">
        <v>292</v>
      </c>
      <c r="B53" t="s">
        <v>372</v>
      </c>
      <c r="C53" t="s">
        <v>175</v>
      </c>
      <c r="D53" s="2">
        <v>766</v>
      </c>
      <c r="E53" t="s">
        <v>28</v>
      </c>
      <c r="F53" s="4">
        <v>110</v>
      </c>
      <c r="G53" s="4">
        <v>5</v>
      </c>
      <c r="H53" s="5">
        <v>14.1</v>
      </c>
      <c r="I53" s="6">
        <v>54.47</v>
      </c>
      <c r="J53" s="6">
        <v>63.74</v>
      </c>
      <c r="K53" s="6">
        <f t="shared" si="0"/>
        <v>34.719177999999999</v>
      </c>
      <c r="L53" s="6">
        <f t="shared" si="1"/>
        <v>22.062734319343623</v>
      </c>
      <c r="M53">
        <v>6</v>
      </c>
      <c r="N53" t="s">
        <v>163</v>
      </c>
      <c r="O53">
        <v>17</v>
      </c>
      <c r="P53" t="s">
        <v>232</v>
      </c>
      <c r="Q53" t="s">
        <v>233</v>
      </c>
      <c r="R53" t="s">
        <v>26</v>
      </c>
      <c r="S53" t="s">
        <v>375</v>
      </c>
    </row>
    <row r="54" spans="1:20">
      <c r="A54" s="1" t="s">
        <v>280</v>
      </c>
      <c r="B54" t="s">
        <v>372</v>
      </c>
      <c r="C54" t="s">
        <v>157</v>
      </c>
      <c r="D54" s="2">
        <v>1222</v>
      </c>
      <c r="E54" t="s">
        <v>28</v>
      </c>
      <c r="F54" s="4">
        <v>110</v>
      </c>
      <c r="G54" s="4">
        <v>5</v>
      </c>
      <c r="H54" s="5">
        <v>22.4</v>
      </c>
      <c r="I54" s="6">
        <v>54.47</v>
      </c>
      <c r="J54" s="6">
        <v>63.74</v>
      </c>
      <c r="K54" s="6">
        <f t="shared" si="0"/>
        <v>34.719177999999999</v>
      </c>
      <c r="L54" s="6">
        <f t="shared" si="1"/>
        <v>35.196685820153924</v>
      </c>
      <c r="M54">
        <v>6</v>
      </c>
      <c r="N54" t="s">
        <v>158</v>
      </c>
      <c r="O54">
        <v>12</v>
      </c>
      <c r="P54" t="s">
        <v>232</v>
      </c>
      <c r="Q54" t="s">
        <v>233</v>
      </c>
      <c r="R54" t="s">
        <v>26</v>
      </c>
      <c r="S54" t="s">
        <v>375</v>
      </c>
    </row>
    <row r="55" spans="1:20">
      <c r="A55" s="1" t="s">
        <v>262</v>
      </c>
      <c r="B55" t="s">
        <v>372</v>
      </c>
      <c r="C55" t="s">
        <v>127</v>
      </c>
      <c r="D55" s="2">
        <v>852.8</v>
      </c>
      <c r="E55" t="s">
        <v>28</v>
      </c>
      <c r="F55" s="4">
        <v>110</v>
      </c>
      <c r="G55" s="4">
        <v>5</v>
      </c>
      <c r="H55" s="5">
        <v>17.2</v>
      </c>
      <c r="I55" s="6">
        <v>54.47</v>
      </c>
      <c r="J55" s="6">
        <v>63.74</v>
      </c>
      <c r="K55" s="6">
        <f t="shared" si="0"/>
        <v>34.719177999999999</v>
      </c>
      <c r="L55" s="6">
        <f t="shared" si="1"/>
        <v>24.562793508532948</v>
      </c>
      <c r="M55">
        <v>6</v>
      </c>
      <c r="N55" t="s">
        <v>128</v>
      </c>
      <c r="O55">
        <v>15</v>
      </c>
      <c r="P55" t="s">
        <v>232</v>
      </c>
      <c r="Q55" t="s">
        <v>233</v>
      </c>
      <c r="R55" t="s">
        <v>115</v>
      </c>
      <c r="S55" t="s">
        <v>375</v>
      </c>
      <c r="T55">
        <v>110</v>
      </c>
    </row>
    <row r="56" spans="1:20">
      <c r="A56" s="1" t="s">
        <v>258</v>
      </c>
      <c r="B56" t="s">
        <v>372</v>
      </c>
      <c r="C56" t="s">
        <v>120</v>
      </c>
      <c r="D56" s="2">
        <v>1020</v>
      </c>
      <c r="E56" t="s">
        <v>20</v>
      </c>
      <c r="F56" s="4">
        <v>110</v>
      </c>
      <c r="G56" s="4">
        <v>6</v>
      </c>
      <c r="H56" s="5">
        <v>18.7</v>
      </c>
      <c r="I56" s="6">
        <v>54.47</v>
      </c>
      <c r="J56" s="6">
        <v>63.74</v>
      </c>
      <c r="K56" s="6">
        <f t="shared" si="0"/>
        <v>34.719177999999999</v>
      </c>
      <c r="L56" s="6">
        <f t="shared" si="1"/>
        <v>29.378575725496727</v>
      </c>
      <c r="M56">
        <v>6</v>
      </c>
      <c r="N56" t="s">
        <v>121</v>
      </c>
      <c r="O56">
        <v>16</v>
      </c>
      <c r="P56" t="s">
        <v>232</v>
      </c>
      <c r="Q56" t="s">
        <v>233</v>
      </c>
      <c r="R56" t="s">
        <v>26</v>
      </c>
      <c r="S56" t="s">
        <v>375</v>
      </c>
    </row>
    <row r="57" spans="1:20">
      <c r="A57" s="1" t="s">
        <v>265</v>
      </c>
      <c r="B57" t="s">
        <v>372</v>
      </c>
      <c r="C57" t="s">
        <v>132</v>
      </c>
      <c r="D57" s="2">
        <v>900</v>
      </c>
      <c r="E57" t="s">
        <v>28</v>
      </c>
      <c r="F57" s="4">
        <v>110</v>
      </c>
      <c r="G57" s="4">
        <v>5</v>
      </c>
      <c r="H57" s="5">
        <v>13.7</v>
      </c>
      <c r="I57" s="6">
        <v>65.849999999999994</v>
      </c>
      <c r="J57" s="6">
        <v>41.73</v>
      </c>
      <c r="K57" s="6">
        <f t="shared" si="0"/>
        <v>27.479204999999997</v>
      </c>
      <c r="L57" s="6">
        <f t="shared" si="1"/>
        <v>32.752039223842175</v>
      </c>
      <c r="M57">
        <v>6</v>
      </c>
      <c r="N57" t="s">
        <v>133</v>
      </c>
      <c r="O57">
        <v>5</v>
      </c>
      <c r="P57" t="s">
        <v>232</v>
      </c>
      <c r="Q57" t="s">
        <v>234</v>
      </c>
      <c r="R57" t="s">
        <v>26</v>
      </c>
      <c r="S57" t="s">
        <v>375</v>
      </c>
    </row>
    <row r="58" spans="1:20">
      <c r="A58" s="1" t="s">
        <v>277</v>
      </c>
      <c r="B58" t="s">
        <v>372</v>
      </c>
      <c r="C58" t="s">
        <v>153</v>
      </c>
      <c r="D58" s="2">
        <v>838</v>
      </c>
      <c r="E58" t="s">
        <v>28</v>
      </c>
      <c r="F58" s="4">
        <v>110</v>
      </c>
      <c r="G58" s="4">
        <v>5</v>
      </c>
      <c r="H58" s="5">
        <v>14.4</v>
      </c>
      <c r="I58" s="6">
        <v>58.06</v>
      </c>
      <c r="J58" s="6">
        <v>51.57</v>
      </c>
      <c r="K58" s="6">
        <f t="shared" si="0"/>
        <v>29.941541999999998</v>
      </c>
      <c r="L58" s="6">
        <f t="shared" si="1"/>
        <v>27.98787049778532</v>
      </c>
      <c r="M58">
        <v>6</v>
      </c>
      <c r="N58" t="s">
        <v>133</v>
      </c>
      <c r="O58">
        <v>5</v>
      </c>
      <c r="P58" t="s">
        <v>232</v>
      </c>
      <c r="Q58" t="s">
        <v>233</v>
      </c>
      <c r="R58" t="s">
        <v>26</v>
      </c>
      <c r="S58" t="s">
        <v>375</v>
      </c>
    </row>
    <row r="59" spans="1:20">
      <c r="A59" s="1" t="s">
        <v>241</v>
      </c>
      <c r="B59" t="s">
        <v>372</v>
      </c>
      <c r="C59" t="s">
        <v>92</v>
      </c>
      <c r="D59" s="2">
        <v>950</v>
      </c>
      <c r="E59" t="s">
        <v>20</v>
      </c>
      <c r="F59" s="4">
        <v>110</v>
      </c>
      <c r="G59" s="4">
        <v>6</v>
      </c>
      <c r="H59" s="5">
        <v>14</v>
      </c>
      <c r="I59" s="6">
        <v>67.72</v>
      </c>
      <c r="J59" s="6">
        <v>64.33</v>
      </c>
      <c r="K59" s="6">
        <f t="shared" si="0"/>
        <v>43.564276</v>
      </c>
      <c r="L59" s="6">
        <f t="shared" si="1"/>
        <v>21.80685844520864</v>
      </c>
      <c r="M59">
        <v>6</v>
      </c>
      <c r="N59" t="s">
        <v>93</v>
      </c>
      <c r="O59">
        <v>7</v>
      </c>
      <c r="P59" t="s">
        <v>232</v>
      </c>
      <c r="Q59" t="s">
        <v>234</v>
      </c>
      <c r="R59" t="s">
        <v>26</v>
      </c>
      <c r="S59" t="s">
        <v>375</v>
      </c>
    </row>
    <row r="60" spans="1:20">
      <c r="A60" s="1" t="s">
        <v>263</v>
      </c>
      <c r="B60" t="s">
        <v>372</v>
      </c>
      <c r="C60" t="s">
        <v>129</v>
      </c>
      <c r="D60" s="2">
        <v>900</v>
      </c>
      <c r="E60" t="s">
        <v>28</v>
      </c>
      <c r="F60" s="4">
        <v>110</v>
      </c>
      <c r="G60" s="4">
        <v>5</v>
      </c>
      <c r="H60" s="5">
        <v>15.5</v>
      </c>
      <c r="I60" s="6">
        <v>57.91</v>
      </c>
      <c r="J60" s="6">
        <v>64.33</v>
      </c>
      <c r="K60" s="6">
        <f t="shared" si="0"/>
        <v>37.253502999999995</v>
      </c>
      <c r="L60" s="6">
        <f t="shared" si="1"/>
        <v>24.15880192528472</v>
      </c>
      <c r="M60">
        <v>6</v>
      </c>
      <c r="N60" t="s">
        <v>31</v>
      </c>
      <c r="O60">
        <v>20</v>
      </c>
      <c r="P60" t="s">
        <v>232</v>
      </c>
      <c r="Q60" t="s">
        <v>233</v>
      </c>
      <c r="R60" t="s">
        <v>26</v>
      </c>
      <c r="S60" t="s">
        <v>375</v>
      </c>
    </row>
    <row r="61" spans="1:20">
      <c r="A61" s="1" t="s">
        <v>244</v>
      </c>
      <c r="B61" t="s">
        <v>372</v>
      </c>
      <c r="C61" t="s">
        <v>98</v>
      </c>
      <c r="D61" s="2">
        <v>1186</v>
      </c>
      <c r="E61" t="s">
        <v>20</v>
      </c>
      <c r="F61" s="4">
        <v>110</v>
      </c>
      <c r="G61" s="4">
        <v>6</v>
      </c>
      <c r="H61" s="5">
        <v>20.5</v>
      </c>
      <c r="I61" s="6">
        <v>57.91</v>
      </c>
      <c r="J61" s="6">
        <v>64.33</v>
      </c>
      <c r="K61" s="6">
        <f t="shared" si="0"/>
        <v>37.253502999999995</v>
      </c>
      <c r="L61" s="6">
        <f t="shared" si="1"/>
        <v>31.835932314875198</v>
      </c>
      <c r="M61">
        <v>6</v>
      </c>
      <c r="N61" t="s">
        <v>21</v>
      </c>
      <c r="O61">
        <v>11</v>
      </c>
      <c r="P61" t="s">
        <v>232</v>
      </c>
      <c r="Q61" t="s">
        <v>233</v>
      </c>
      <c r="R61" t="s">
        <v>26</v>
      </c>
      <c r="S61" t="s">
        <v>375</v>
      </c>
    </row>
    <row r="62" spans="1:20">
      <c r="A62" s="1" t="s">
        <v>248</v>
      </c>
      <c r="B62" t="s">
        <v>372</v>
      </c>
      <c r="C62" t="s">
        <v>104</v>
      </c>
      <c r="D62" s="2">
        <v>1225</v>
      </c>
      <c r="E62" t="s">
        <v>20</v>
      </c>
      <c r="F62" s="4">
        <v>110</v>
      </c>
      <c r="G62" s="4">
        <v>6</v>
      </c>
      <c r="H62" s="5">
        <v>22.5</v>
      </c>
      <c r="I62" s="6">
        <v>54.34</v>
      </c>
      <c r="J62" s="6">
        <v>63.93</v>
      </c>
      <c r="K62" s="6">
        <f t="shared" si="0"/>
        <v>34.739561999999999</v>
      </c>
      <c r="L62" s="6">
        <f t="shared" si="1"/>
        <v>35.262390469977717</v>
      </c>
      <c r="M62">
        <v>6</v>
      </c>
      <c r="N62" t="s">
        <v>21</v>
      </c>
      <c r="O62">
        <v>11</v>
      </c>
      <c r="P62" t="s">
        <v>232</v>
      </c>
      <c r="Q62" t="s">
        <v>233</v>
      </c>
      <c r="R62" t="s">
        <v>26</v>
      </c>
      <c r="S62" t="s">
        <v>375</v>
      </c>
    </row>
    <row r="63" spans="1:20">
      <c r="A63" s="1" t="s">
        <v>310</v>
      </c>
      <c r="B63" t="s">
        <v>372</v>
      </c>
      <c r="C63" t="s">
        <v>205</v>
      </c>
      <c r="D63" s="2">
        <v>892</v>
      </c>
      <c r="E63" t="s">
        <v>65</v>
      </c>
      <c r="F63" s="4">
        <v>110</v>
      </c>
      <c r="G63" s="4">
        <v>4</v>
      </c>
      <c r="H63" s="5">
        <v>26.4</v>
      </c>
      <c r="I63" s="6">
        <v>33.770000000000003</v>
      </c>
      <c r="J63" s="6">
        <v>64.989999999999995</v>
      </c>
      <c r="K63" s="6">
        <f t="shared" si="0"/>
        <v>21.947123000000001</v>
      </c>
      <c r="L63" s="6">
        <f t="shared" si="1"/>
        <v>40.643140333245498</v>
      </c>
      <c r="M63">
        <v>6</v>
      </c>
      <c r="N63" t="s">
        <v>97</v>
      </c>
      <c r="O63">
        <v>7</v>
      </c>
      <c r="P63" t="s">
        <v>235</v>
      </c>
      <c r="Q63" t="s">
        <v>236</v>
      </c>
      <c r="R63" t="s">
        <v>45</v>
      </c>
      <c r="S63" t="s">
        <v>373</v>
      </c>
    </row>
    <row r="64" spans="1:20">
      <c r="A64" s="1" t="s">
        <v>246</v>
      </c>
      <c r="B64" t="s">
        <v>372</v>
      </c>
      <c r="C64" t="s">
        <v>101</v>
      </c>
      <c r="D64" s="2">
        <v>875</v>
      </c>
      <c r="E64" t="s">
        <v>20</v>
      </c>
      <c r="F64" s="4">
        <v>110</v>
      </c>
      <c r="G64" s="4">
        <v>6</v>
      </c>
      <c r="H64" s="5">
        <v>14.4</v>
      </c>
      <c r="I64" s="6">
        <v>60.84</v>
      </c>
      <c r="J64" s="6">
        <v>53.51</v>
      </c>
      <c r="K64" s="6">
        <f t="shared" si="0"/>
        <v>32.555484</v>
      </c>
      <c r="L64" s="6">
        <f t="shared" si="1"/>
        <v>26.877192180586228</v>
      </c>
      <c r="M64">
        <v>6</v>
      </c>
      <c r="N64" t="s">
        <v>95</v>
      </c>
      <c r="O64">
        <v>21</v>
      </c>
      <c r="P64" t="s">
        <v>232</v>
      </c>
      <c r="Q64" t="s">
        <v>233</v>
      </c>
      <c r="R64" t="s">
        <v>32</v>
      </c>
      <c r="S64" t="s">
        <v>374</v>
      </c>
    </row>
    <row r="65" spans="1:20">
      <c r="A65" s="1" t="s">
        <v>242</v>
      </c>
      <c r="B65" t="s">
        <v>372</v>
      </c>
      <c r="C65" t="s">
        <v>94</v>
      </c>
      <c r="D65" s="2">
        <v>880</v>
      </c>
      <c r="E65" t="s">
        <v>20</v>
      </c>
      <c r="F65" s="4">
        <v>110</v>
      </c>
      <c r="G65" s="4">
        <v>6</v>
      </c>
      <c r="H65" s="5">
        <v>14.5</v>
      </c>
      <c r="I65" s="6">
        <v>60.75</v>
      </c>
      <c r="J65" s="6">
        <v>53.75</v>
      </c>
      <c r="K65" s="6">
        <f t="shared" si="0"/>
        <v>32.653125000000003</v>
      </c>
      <c r="L65" s="6">
        <f t="shared" si="1"/>
        <v>26.949947363384055</v>
      </c>
      <c r="M65">
        <v>6</v>
      </c>
      <c r="N65" t="s">
        <v>95</v>
      </c>
      <c r="O65">
        <v>21</v>
      </c>
      <c r="P65" t="s">
        <v>232</v>
      </c>
      <c r="Q65" t="s">
        <v>233</v>
      </c>
      <c r="R65" t="s">
        <v>32</v>
      </c>
      <c r="S65" t="s">
        <v>374</v>
      </c>
    </row>
    <row r="66" spans="1:20">
      <c r="A66" s="1" t="s">
        <v>271</v>
      </c>
      <c r="B66" t="s">
        <v>372</v>
      </c>
      <c r="C66" t="s">
        <v>142</v>
      </c>
      <c r="D66" s="2">
        <v>1050</v>
      </c>
      <c r="E66" t="s">
        <v>28</v>
      </c>
      <c r="F66" s="4">
        <v>110</v>
      </c>
      <c r="G66" s="4">
        <v>5</v>
      </c>
      <c r="H66" s="5">
        <v>23.3</v>
      </c>
      <c r="I66" s="6">
        <v>45.14</v>
      </c>
      <c r="J66" s="6">
        <v>64.989999999999995</v>
      </c>
      <c r="K66" s="6">
        <f t="shared" si="0"/>
        <v>29.336486000000001</v>
      </c>
      <c r="L66" s="6">
        <f t="shared" si="1"/>
        <v>35.791607761065862</v>
      </c>
      <c r="M66">
        <v>6</v>
      </c>
      <c r="N66" t="s">
        <v>143</v>
      </c>
      <c r="O66">
        <v>19</v>
      </c>
      <c r="P66" t="s">
        <v>232</v>
      </c>
      <c r="Q66" t="s">
        <v>233</v>
      </c>
      <c r="R66" t="s">
        <v>22</v>
      </c>
      <c r="S66" t="s">
        <v>373</v>
      </c>
    </row>
    <row r="67" spans="1:20">
      <c r="A67" s="1" t="s">
        <v>275</v>
      </c>
      <c r="B67" t="s">
        <v>372</v>
      </c>
      <c r="C67" t="s">
        <v>149</v>
      </c>
      <c r="D67" s="2">
        <v>900</v>
      </c>
      <c r="E67" t="s">
        <v>28</v>
      </c>
      <c r="F67" s="4">
        <v>110</v>
      </c>
      <c r="G67" s="4">
        <v>5</v>
      </c>
      <c r="H67" s="5">
        <v>14.8</v>
      </c>
      <c r="I67" s="6">
        <v>60.84</v>
      </c>
      <c r="J67" s="6">
        <v>66.02</v>
      </c>
      <c r="K67" s="6">
        <f t="shared" ref="K67:K127" si="2">I67*J67/100</f>
        <v>40.166568000000005</v>
      </c>
      <c r="L67" s="6">
        <f t="shared" ref="L67:L127" si="3">D67/K67</f>
        <v>22.406694044659226</v>
      </c>
      <c r="M67">
        <v>6</v>
      </c>
      <c r="N67" t="s">
        <v>150</v>
      </c>
      <c r="O67">
        <v>13</v>
      </c>
      <c r="P67" t="s">
        <v>232</v>
      </c>
      <c r="Q67" t="s">
        <v>233</v>
      </c>
      <c r="R67" t="s">
        <v>32</v>
      </c>
      <c r="S67" t="s">
        <v>374</v>
      </c>
    </row>
    <row r="68" spans="1:20">
      <c r="A68" s="1" t="s">
        <v>267</v>
      </c>
      <c r="B68" t="s">
        <v>372</v>
      </c>
      <c r="C68" t="s">
        <v>136</v>
      </c>
      <c r="D68" s="2">
        <v>985</v>
      </c>
      <c r="E68" t="s">
        <v>28</v>
      </c>
      <c r="F68" s="4">
        <v>110</v>
      </c>
      <c r="G68" s="4">
        <v>5</v>
      </c>
      <c r="H68" s="5">
        <v>13.6</v>
      </c>
      <c r="I68" s="6">
        <v>72.31</v>
      </c>
      <c r="J68" s="6">
        <v>65.849999999999994</v>
      </c>
      <c r="K68" s="6">
        <f t="shared" si="2"/>
        <v>47.616134999999993</v>
      </c>
      <c r="L68" s="6">
        <f t="shared" si="3"/>
        <v>20.686265275415575</v>
      </c>
      <c r="M68">
        <v>6</v>
      </c>
      <c r="N68" t="s">
        <v>137</v>
      </c>
      <c r="O68">
        <v>15</v>
      </c>
      <c r="P68" t="s">
        <v>232</v>
      </c>
      <c r="Q68" t="s">
        <v>234</v>
      </c>
      <c r="R68" t="s">
        <v>32</v>
      </c>
      <c r="S68" t="s">
        <v>374</v>
      </c>
    </row>
    <row r="69" spans="1:20">
      <c r="A69" s="1" t="s">
        <v>249</v>
      </c>
      <c r="B69" t="s">
        <v>372</v>
      </c>
      <c r="C69" t="s">
        <v>105</v>
      </c>
      <c r="D69" s="2">
        <v>950</v>
      </c>
      <c r="E69" t="s">
        <v>20</v>
      </c>
      <c r="F69" s="4">
        <v>110</v>
      </c>
      <c r="G69" s="4">
        <v>6</v>
      </c>
      <c r="H69" s="5">
        <v>21.8</v>
      </c>
      <c r="I69" s="6">
        <v>43.51</v>
      </c>
      <c r="J69" s="6">
        <v>64.89</v>
      </c>
      <c r="K69" s="6">
        <f t="shared" si="2"/>
        <v>28.233638999999997</v>
      </c>
      <c r="L69" s="6">
        <f t="shared" si="3"/>
        <v>33.64780572564522</v>
      </c>
      <c r="M69">
        <v>6</v>
      </c>
      <c r="N69" t="s">
        <v>95</v>
      </c>
      <c r="O69">
        <v>21</v>
      </c>
      <c r="P69" t="s">
        <v>232</v>
      </c>
      <c r="Q69" t="s">
        <v>233</v>
      </c>
      <c r="R69" t="s">
        <v>26</v>
      </c>
      <c r="S69" t="s">
        <v>375</v>
      </c>
    </row>
    <row r="70" spans="1:20">
      <c r="A70" s="1" t="s">
        <v>281</v>
      </c>
      <c r="B70" t="s">
        <v>372</v>
      </c>
      <c r="C70" t="s">
        <v>159</v>
      </c>
      <c r="D70" s="2">
        <v>950</v>
      </c>
      <c r="E70" t="s">
        <v>28</v>
      </c>
      <c r="F70" s="4">
        <v>110</v>
      </c>
      <c r="G70" s="4">
        <v>5</v>
      </c>
      <c r="H70" s="5">
        <v>21.1</v>
      </c>
      <c r="I70" s="6">
        <v>45.1</v>
      </c>
      <c r="J70" s="6">
        <v>65.06</v>
      </c>
      <c r="K70" s="6">
        <f t="shared" si="2"/>
        <v>29.34206</v>
      </c>
      <c r="L70" s="6">
        <f t="shared" si="3"/>
        <v>32.376731558724913</v>
      </c>
      <c r="M70">
        <v>6</v>
      </c>
      <c r="N70" t="s">
        <v>150</v>
      </c>
      <c r="O70">
        <v>13</v>
      </c>
      <c r="P70" t="s">
        <v>232</v>
      </c>
      <c r="Q70" t="s">
        <v>233</v>
      </c>
      <c r="R70" t="s">
        <v>22</v>
      </c>
      <c r="S70" t="s">
        <v>373</v>
      </c>
    </row>
    <row r="71" spans="1:20">
      <c r="A71" s="1" t="s">
        <v>286</v>
      </c>
      <c r="B71" t="s">
        <v>372</v>
      </c>
      <c r="C71" t="s">
        <v>166</v>
      </c>
      <c r="D71" s="2">
        <v>325</v>
      </c>
      <c r="E71" t="s">
        <v>28</v>
      </c>
      <c r="F71" s="4">
        <v>110</v>
      </c>
      <c r="G71" s="4">
        <v>5</v>
      </c>
      <c r="H71" s="5">
        <v>9.6</v>
      </c>
      <c r="I71" s="6">
        <v>33.729999999999997</v>
      </c>
      <c r="J71" s="6">
        <v>65.069999999999993</v>
      </c>
      <c r="K71" s="6">
        <f t="shared" si="2"/>
        <v>21.948110999999994</v>
      </c>
      <c r="L71" s="6">
        <f t="shared" si="3"/>
        <v>14.807652467221443</v>
      </c>
      <c r="M71">
        <v>6</v>
      </c>
      <c r="N71" t="s">
        <v>167</v>
      </c>
      <c r="O71">
        <v>10</v>
      </c>
      <c r="P71" t="s">
        <v>235</v>
      </c>
      <c r="Q71" t="s">
        <v>236</v>
      </c>
      <c r="R71" t="s">
        <v>45</v>
      </c>
      <c r="S71" t="s">
        <v>373</v>
      </c>
    </row>
    <row r="72" spans="1:20">
      <c r="A72" s="1" t="s">
        <v>294</v>
      </c>
      <c r="B72" s="1" t="s">
        <v>370</v>
      </c>
      <c r="C72" t="s">
        <v>178</v>
      </c>
      <c r="D72" s="2">
        <v>613.4</v>
      </c>
      <c r="E72" t="s">
        <v>28</v>
      </c>
      <c r="F72" s="4">
        <v>110</v>
      </c>
      <c r="G72" s="4">
        <v>5</v>
      </c>
      <c r="H72" s="5">
        <v>13.9</v>
      </c>
      <c r="I72" s="6">
        <v>44.14</v>
      </c>
      <c r="J72" s="6">
        <v>63.37</v>
      </c>
      <c r="K72" s="6">
        <f t="shared" si="2"/>
        <v>27.971518</v>
      </c>
      <c r="L72" s="6">
        <f t="shared" si="3"/>
        <v>21.929449806764151</v>
      </c>
      <c r="M72">
        <v>6</v>
      </c>
      <c r="N72" t="s">
        <v>51</v>
      </c>
      <c r="O72">
        <v>9</v>
      </c>
      <c r="P72" t="s">
        <v>232</v>
      </c>
      <c r="Q72" t="s">
        <v>233</v>
      </c>
      <c r="R72" t="s">
        <v>86</v>
      </c>
      <c r="S72" t="s">
        <v>375</v>
      </c>
    </row>
    <row r="73" spans="1:20">
      <c r="A73" s="1" t="s">
        <v>251</v>
      </c>
      <c r="B73" s="1" t="s">
        <v>370</v>
      </c>
      <c r="C73" t="s">
        <v>108</v>
      </c>
      <c r="D73" s="2">
        <v>700</v>
      </c>
      <c r="E73" t="s">
        <v>20</v>
      </c>
      <c r="F73" s="4">
        <v>110</v>
      </c>
      <c r="G73" s="4">
        <v>6</v>
      </c>
      <c r="H73" s="5">
        <v>16.600000000000001</v>
      </c>
      <c r="I73" s="6">
        <v>42.15</v>
      </c>
      <c r="J73" s="6">
        <v>46.62</v>
      </c>
      <c r="K73" s="6">
        <f t="shared" si="2"/>
        <v>19.65033</v>
      </c>
      <c r="L73" s="6">
        <f t="shared" si="3"/>
        <v>35.622811423523167</v>
      </c>
      <c r="M73">
        <v>6</v>
      </c>
      <c r="N73" t="s">
        <v>21</v>
      </c>
      <c r="O73">
        <v>11</v>
      </c>
      <c r="P73" t="s">
        <v>232</v>
      </c>
      <c r="Q73" t="s">
        <v>233</v>
      </c>
      <c r="R73" t="s">
        <v>26</v>
      </c>
      <c r="S73" t="s">
        <v>375</v>
      </c>
    </row>
    <row r="74" spans="1:20">
      <c r="A74" s="1" t="s">
        <v>316</v>
      </c>
      <c r="B74" s="1" t="s">
        <v>370</v>
      </c>
      <c r="C74" t="s">
        <v>211</v>
      </c>
      <c r="D74" s="2">
        <v>770</v>
      </c>
      <c r="E74" t="s">
        <v>65</v>
      </c>
      <c r="F74" s="4">
        <v>110</v>
      </c>
      <c r="G74" s="4">
        <v>4</v>
      </c>
      <c r="H74" s="5">
        <v>13.5</v>
      </c>
      <c r="I74" s="6">
        <v>56.98</v>
      </c>
      <c r="J74" s="6">
        <v>50.95</v>
      </c>
      <c r="K74" s="6">
        <f t="shared" si="2"/>
        <v>29.031309999999998</v>
      </c>
      <c r="L74" s="6">
        <f t="shared" si="3"/>
        <v>26.523088348407292</v>
      </c>
      <c r="M74">
        <v>6</v>
      </c>
      <c r="N74" t="s">
        <v>81</v>
      </c>
      <c r="O74">
        <v>6</v>
      </c>
      <c r="P74" t="s">
        <v>232</v>
      </c>
      <c r="Q74" t="s">
        <v>233</v>
      </c>
      <c r="R74" t="s">
        <v>26</v>
      </c>
      <c r="S74" t="s">
        <v>375</v>
      </c>
    </row>
    <row r="75" spans="1:20">
      <c r="A75" s="1" t="s">
        <v>317</v>
      </c>
      <c r="B75" s="1" t="s">
        <v>370</v>
      </c>
      <c r="C75" t="s">
        <v>212</v>
      </c>
      <c r="D75" s="2">
        <v>623</v>
      </c>
      <c r="E75" t="s">
        <v>65</v>
      </c>
      <c r="F75" s="4">
        <v>110</v>
      </c>
      <c r="G75" s="4">
        <v>4</v>
      </c>
      <c r="H75" s="5">
        <v>20</v>
      </c>
      <c r="I75" s="6">
        <v>31.14</v>
      </c>
      <c r="J75" s="6">
        <v>63.1</v>
      </c>
      <c r="K75" s="6">
        <f t="shared" si="2"/>
        <v>19.649339999999999</v>
      </c>
      <c r="L75" s="6">
        <f t="shared" si="3"/>
        <v>31.705899536574769</v>
      </c>
      <c r="M75">
        <v>6</v>
      </c>
      <c r="N75" t="s">
        <v>81</v>
      </c>
      <c r="O75">
        <v>6</v>
      </c>
      <c r="P75" t="s">
        <v>235</v>
      </c>
      <c r="Q75" t="s">
        <v>236</v>
      </c>
      <c r="R75" t="s">
        <v>22</v>
      </c>
      <c r="S75" t="s">
        <v>373</v>
      </c>
    </row>
    <row r="76" spans="1:20">
      <c r="A76" s="1" t="s">
        <v>319</v>
      </c>
      <c r="B76" s="1" t="s">
        <v>370</v>
      </c>
      <c r="C76" t="s">
        <v>215</v>
      </c>
      <c r="D76" s="2">
        <v>800</v>
      </c>
      <c r="E76" t="s">
        <v>65</v>
      </c>
      <c r="F76" s="4">
        <v>110</v>
      </c>
      <c r="G76" s="4">
        <v>4</v>
      </c>
      <c r="H76" s="5">
        <v>17.5</v>
      </c>
      <c r="I76" s="6">
        <v>45.62</v>
      </c>
      <c r="J76" s="6">
        <v>48.07</v>
      </c>
      <c r="K76" s="6">
        <f t="shared" si="2"/>
        <v>21.929534</v>
      </c>
      <c r="L76" s="6">
        <f t="shared" si="3"/>
        <v>36.480483351812218</v>
      </c>
      <c r="M76">
        <v>6</v>
      </c>
      <c r="N76" t="s">
        <v>79</v>
      </c>
      <c r="O76">
        <v>19</v>
      </c>
      <c r="P76" t="s">
        <v>232</v>
      </c>
      <c r="Q76" t="s">
        <v>233</v>
      </c>
      <c r="R76" t="s">
        <v>22</v>
      </c>
      <c r="S76" t="s">
        <v>373</v>
      </c>
    </row>
    <row r="77" spans="1:20">
      <c r="A77" s="1" t="s">
        <v>289</v>
      </c>
      <c r="B77" s="1" t="s">
        <v>370</v>
      </c>
      <c r="C77" t="s">
        <v>171</v>
      </c>
      <c r="D77" s="2">
        <v>1200</v>
      </c>
      <c r="E77" t="s">
        <v>28</v>
      </c>
      <c r="F77" s="4">
        <v>110</v>
      </c>
      <c r="G77" s="4">
        <v>5</v>
      </c>
      <c r="H77" s="5">
        <v>23.5</v>
      </c>
      <c r="I77" s="6">
        <v>55.51</v>
      </c>
      <c r="J77" s="6">
        <v>63.15</v>
      </c>
      <c r="K77" s="6">
        <f t="shared" si="2"/>
        <v>35.054564999999997</v>
      </c>
      <c r="L77" s="6">
        <f t="shared" si="3"/>
        <v>34.232346058209544</v>
      </c>
      <c r="M77">
        <v>6</v>
      </c>
      <c r="N77" t="s">
        <v>79</v>
      </c>
      <c r="O77">
        <v>19</v>
      </c>
      <c r="P77" t="s">
        <v>232</v>
      </c>
      <c r="Q77" t="s">
        <v>233</v>
      </c>
      <c r="R77" t="s">
        <v>32</v>
      </c>
      <c r="S77" t="s">
        <v>374</v>
      </c>
      <c r="T77">
        <v>120</v>
      </c>
    </row>
    <row r="78" spans="1:20">
      <c r="A78" s="1" t="s">
        <v>306</v>
      </c>
      <c r="B78" s="1" t="s">
        <v>370</v>
      </c>
      <c r="C78" t="s">
        <v>197</v>
      </c>
      <c r="D78" s="2">
        <v>900</v>
      </c>
      <c r="E78" t="s">
        <v>65</v>
      </c>
      <c r="F78" s="4">
        <v>110</v>
      </c>
      <c r="G78" s="4">
        <v>4</v>
      </c>
      <c r="H78" s="5">
        <v>21.4</v>
      </c>
      <c r="I78" s="6">
        <v>42.15</v>
      </c>
      <c r="J78" s="6">
        <v>63.1</v>
      </c>
      <c r="K78" s="6">
        <f t="shared" si="2"/>
        <v>26.59665</v>
      </c>
      <c r="L78" s="6">
        <f t="shared" si="3"/>
        <v>33.8388481256098</v>
      </c>
      <c r="M78">
        <v>6</v>
      </c>
      <c r="N78" t="s">
        <v>79</v>
      </c>
      <c r="O78">
        <v>19</v>
      </c>
      <c r="P78" t="s">
        <v>232</v>
      </c>
      <c r="Q78" t="s">
        <v>233</v>
      </c>
      <c r="R78" t="s">
        <v>22</v>
      </c>
      <c r="S78" t="s">
        <v>373</v>
      </c>
    </row>
    <row r="79" spans="1:20">
      <c r="A79" s="1" t="s">
        <v>299</v>
      </c>
      <c r="B79" s="1" t="s">
        <v>370</v>
      </c>
      <c r="C79" t="s">
        <v>186</v>
      </c>
      <c r="D79" s="2">
        <v>980</v>
      </c>
      <c r="E79" t="s">
        <v>65</v>
      </c>
      <c r="F79" s="4">
        <v>110</v>
      </c>
      <c r="G79" s="4">
        <v>4</v>
      </c>
      <c r="H79" s="5">
        <v>21.5</v>
      </c>
      <c r="I79" s="6">
        <v>45.62</v>
      </c>
      <c r="J79" s="6">
        <v>63.36</v>
      </c>
      <c r="K79" s="6">
        <f t="shared" si="2"/>
        <v>28.904831999999995</v>
      </c>
      <c r="L79" s="6">
        <f t="shared" si="3"/>
        <v>33.904365885952913</v>
      </c>
      <c r="M79">
        <v>6</v>
      </c>
      <c r="N79" t="s">
        <v>29</v>
      </c>
      <c r="O79">
        <v>13</v>
      </c>
      <c r="P79" t="s">
        <v>232</v>
      </c>
      <c r="Q79" t="s">
        <v>233</v>
      </c>
      <c r="R79" t="s">
        <v>22</v>
      </c>
      <c r="S79" t="s">
        <v>373</v>
      </c>
    </row>
    <row r="80" spans="1:20">
      <c r="A80" s="1" t="s">
        <v>257</v>
      </c>
      <c r="B80" s="1" t="s">
        <v>370</v>
      </c>
      <c r="C80" t="s">
        <v>118</v>
      </c>
      <c r="D80" s="2">
        <v>1230</v>
      </c>
      <c r="E80" t="s">
        <v>20</v>
      </c>
      <c r="F80" s="4">
        <v>110</v>
      </c>
      <c r="G80" s="4">
        <v>6</v>
      </c>
      <c r="H80" s="5">
        <v>20.5</v>
      </c>
      <c r="I80" s="6">
        <v>59.98</v>
      </c>
      <c r="J80" s="6">
        <v>63.21</v>
      </c>
      <c r="K80" s="6">
        <f t="shared" si="2"/>
        <v>37.913357999999995</v>
      </c>
      <c r="L80" s="6">
        <f t="shared" si="3"/>
        <v>32.442391412546471</v>
      </c>
      <c r="M80">
        <v>6</v>
      </c>
      <c r="N80" t="s">
        <v>119</v>
      </c>
      <c r="O80">
        <v>12</v>
      </c>
      <c r="P80" t="s">
        <v>232</v>
      </c>
      <c r="Q80" t="s">
        <v>233</v>
      </c>
      <c r="R80" t="s">
        <v>26</v>
      </c>
      <c r="S80" t="s">
        <v>375</v>
      </c>
    </row>
    <row r="81" spans="1:20">
      <c r="A81" s="1" t="s">
        <v>297</v>
      </c>
      <c r="B81" s="1" t="s">
        <v>370</v>
      </c>
      <c r="C81" t="s">
        <v>182</v>
      </c>
      <c r="D81" s="2">
        <v>760</v>
      </c>
      <c r="E81" t="s">
        <v>65</v>
      </c>
      <c r="F81" s="4">
        <v>110</v>
      </c>
      <c r="G81" s="4">
        <v>4</v>
      </c>
      <c r="H81" s="5">
        <v>13.9</v>
      </c>
      <c r="I81" s="6">
        <v>54.59</v>
      </c>
      <c r="J81" s="6">
        <v>50.12</v>
      </c>
      <c r="K81" s="6">
        <f t="shared" si="2"/>
        <v>27.360507999999999</v>
      </c>
      <c r="L81" s="6">
        <f t="shared" si="3"/>
        <v>27.777262030368735</v>
      </c>
      <c r="M81">
        <v>6</v>
      </c>
      <c r="N81" t="s">
        <v>183</v>
      </c>
      <c r="O81">
        <v>16</v>
      </c>
      <c r="P81" t="s">
        <v>232</v>
      </c>
      <c r="Q81" t="s">
        <v>233</v>
      </c>
      <c r="R81" t="s">
        <v>26</v>
      </c>
      <c r="S81" t="s">
        <v>375</v>
      </c>
      <c r="T81">
        <v>87</v>
      </c>
    </row>
    <row r="82" spans="1:20">
      <c r="A82" s="1" t="s">
        <v>315</v>
      </c>
      <c r="B82" s="1" t="s">
        <v>370</v>
      </c>
      <c r="C82" t="s">
        <v>210</v>
      </c>
      <c r="D82" s="2">
        <v>927</v>
      </c>
      <c r="E82" t="s">
        <v>65</v>
      </c>
      <c r="F82" s="4">
        <v>110</v>
      </c>
      <c r="G82" s="4">
        <v>4</v>
      </c>
      <c r="H82" s="5">
        <v>20.3</v>
      </c>
      <c r="I82" s="6">
        <v>45.62</v>
      </c>
      <c r="J82" s="6">
        <v>48.07</v>
      </c>
      <c r="K82" s="6">
        <f t="shared" si="2"/>
        <v>21.929534</v>
      </c>
      <c r="L82" s="6">
        <f t="shared" si="3"/>
        <v>42.271760083912405</v>
      </c>
      <c r="M82">
        <v>6</v>
      </c>
      <c r="N82" t="s">
        <v>71</v>
      </c>
      <c r="O82">
        <v>10</v>
      </c>
      <c r="P82" t="s">
        <v>232</v>
      </c>
      <c r="Q82" t="s">
        <v>233</v>
      </c>
      <c r="R82" t="s">
        <v>86</v>
      </c>
      <c r="S82" t="s">
        <v>375</v>
      </c>
    </row>
    <row r="83" spans="1:20">
      <c r="A83" s="1" t="s">
        <v>309</v>
      </c>
      <c r="B83" s="1" t="s">
        <v>370</v>
      </c>
      <c r="C83" t="s">
        <v>202</v>
      </c>
      <c r="D83" s="2">
        <v>695</v>
      </c>
      <c r="E83" t="s">
        <v>65</v>
      </c>
      <c r="F83" s="4">
        <v>110</v>
      </c>
      <c r="G83" s="4">
        <v>4</v>
      </c>
      <c r="H83" s="5">
        <v>15.2</v>
      </c>
      <c r="I83" s="6">
        <v>45.62</v>
      </c>
      <c r="J83" s="6">
        <v>48.07</v>
      </c>
      <c r="K83" s="6">
        <f t="shared" si="2"/>
        <v>21.929534</v>
      </c>
      <c r="L83" s="6">
        <f t="shared" si="3"/>
        <v>31.692419911886866</v>
      </c>
      <c r="M83">
        <v>6</v>
      </c>
      <c r="N83" t="s">
        <v>203</v>
      </c>
      <c r="O83">
        <v>7</v>
      </c>
      <c r="P83" t="s">
        <v>232</v>
      </c>
      <c r="Q83" t="s">
        <v>233</v>
      </c>
      <c r="R83" t="s">
        <v>204</v>
      </c>
      <c r="S83" t="s">
        <v>375</v>
      </c>
    </row>
    <row r="84" spans="1:20">
      <c r="A84" s="1" t="s">
        <v>318</v>
      </c>
      <c r="B84" s="1" t="s">
        <v>370</v>
      </c>
      <c r="C84" t="s">
        <v>213</v>
      </c>
      <c r="D84" s="2">
        <v>750</v>
      </c>
      <c r="E84" t="s">
        <v>65</v>
      </c>
      <c r="F84" s="4">
        <v>110</v>
      </c>
      <c r="G84" s="4">
        <v>4</v>
      </c>
      <c r="H84" s="5">
        <v>13.5</v>
      </c>
      <c r="I84" s="6">
        <v>55.51</v>
      </c>
      <c r="J84" s="6">
        <v>63.15</v>
      </c>
      <c r="K84" s="6">
        <f t="shared" si="2"/>
        <v>35.054564999999997</v>
      </c>
      <c r="L84" s="6">
        <f t="shared" si="3"/>
        <v>21.395216286380961</v>
      </c>
      <c r="M84">
        <v>6</v>
      </c>
      <c r="N84" t="s">
        <v>214</v>
      </c>
      <c r="O84">
        <v>9</v>
      </c>
      <c r="P84" t="s">
        <v>232</v>
      </c>
      <c r="Q84" t="s">
        <v>233</v>
      </c>
      <c r="R84" t="s">
        <v>67</v>
      </c>
      <c r="S84" t="s">
        <v>374</v>
      </c>
    </row>
    <row r="85" spans="1:20">
      <c r="A85" s="1" t="s">
        <v>300</v>
      </c>
      <c r="B85" s="1" t="s">
        <v>370</v>
      </c>
      <c r="C85" t="s">
        <v>187</v>
      </c>
      <c r="D85" s="2">
        <v>610</v>
      </c>
      <c r="E85" t="s">
        <v>65</v>
      </c>
      <c r="F85" s="4">
        <v>110</v>
      </c>
      <c r="G85" s="4">
        <v>4</v>
      </c>
      <c r="H85" s="5">
        <v>13.8</v>
      </c>
      <c r="I85" s="6">
        <v>44.09</v>
      </c>
      <c r="J85" s="6">
        <v>66.290000000000006</v>
      </c>
      <c r="K85" s="6">
        <f t="shared" si="2"/>
        <v>29.227261000000002</v>
      </c>
      <c r="L85" s="6">
        <f t="shared" si="3"/>
        <v>20.870925948209788</v>
      </c>
      <c r="M85">
        <v>6</v>
      </c>
      <c r="N85" t="s">
        <v>188</v>
      </c>
      <c r="O85">
        <v>2</v>
      </c>
      <c r="P85" t="s">
        <v>232</v>
      </c>
      <c r="Q85" t="s">
        <v>233</v>
      </c>
      <c r="R85" t="s">
        <v>22</v>
      </c>
      <c r="S85" t="s">
        <v>373</v>
      </c>
    </row>
    <row r="86" spans="1:20">
      <c r="A86" s="1" t="s">
        <v>305</v>
      </c>
      <c r="B86" s="1" t="s">
        <v>370</v>
      </c>
      <c r="C86" t="s">
        <v>195</v>
      </c>
      <c r="D86" s="2">
        <v>886</v>
      </c>
      <c r="E86" t="s">
        <v>65</v>
      </c>
      <c r="F86" s="4">
        <v>110</v>
      </c>
      <c r="G86" s="4">
        <v>4</v>
      </c>
      <c r="H86" s="5">
        <v>12.7</v>
      </c>
      <c r="I86" s="6">
        <v>69.510000000000005</v>
      </c>
      <c r="J86" s="6">
        <v>63.21</v>
      </c>
      <c r="K86" s="6">
        <f t="shared" si="2"/>
        <v>43.937271000000003</v>
      </c>
      <c r="L86" s="6">
        <f t="shared" si="3"/>
        <v>20.165112211907744</v>
      </c>
      <c r="M86">
        <v>6</v>
      </c>
      <c r="N86" t="s">
        <v>196</v>
      </c>
      <c r="O86">
        <v>11</v>
      </c>
      <c r="P86" t="s">
        <v>232</v>
      </c>
      <c r="Q86" t="s">
        <v>234</v>
      </c>
      <c r="R86" t="s">
        <v>32</v>
      </c>
      <c r="S86" t="s">
        <v>374</v>
      </c>
    </row>
    <row r="87" spans="1:20">
      <c r="A87" s="1" t="s">
        <v>313</v>
      </c>
      <c r="B87" s="1" t="s">
        <v>370</v>
      </c>
      <c r="C87" t="s">
        <v>208</v>
      </c>
      <c r="D87" s="2">
        <v>900</v>
      </c>
      <c r="E87" t="s">
        <v>65</v>
      </c>
      <c r="F87" s="4">
        <v>110</v>
      </c>
      <c r="G87" s="4">
        <v>4</v>
      </c>
      <c r="H87" s="5">
        <v>16.899999999999999</v>
      </c>
      <c r="I87" s="6">
        <v>53.11</v>
      </c>
      <c r="J87" s="6">
        <v>62.78</v>
      </c>
      <c r="K87" s="6">
        <f t="shared" si="2"/>
        <v>33.342458000000001</v>
      </c>
      <c r="L87" s="6">
        <f t="shared" si="3"/>
        <v>26.992611042653184</v>
      </c>
      <c r="M87">
        <v>6</v>
      </c>
      <c r="N87" t="s">
        <v>79</v>
      </c>
      <c r="O87">
        <v>19</v>
      </c>
      <c r="P87" t="s">
        <v>232</v>
      </c>
      <c r="Q87" t="s">
        <v>233</v>
      </c>
      <c r="R87" t="s">
        <v>26</v>
      </c>
      <c r="S87" t="s">
        <v>375</v>
      </c>
    </row>
    <row r="88" spans="1:20">
      <c r="A88" s="1" t="s">
        <v>270</v>
      </c>
      <c r="B88" s="1" t="s">
        <v>370</v>
      </c>
      <c r="C88" t="s">
        <v>141</v>
      </c>
      <c r="D88" s="2">
        <v>868</v>
      </c>
      <c r="E88" t="s">
        <v>28</v>
      </c>
      <c r="F88" s="4">
        <v>110</v>
      </c>
      <c r="G88" s="4">
        <v>5</v>
      </c>
      <c r="H88" s="5">
        <v>23.1</v>
      </c>
      <c r="I88" s="6">
        <v>42.15</v>
      </c>
      <c r="J88" s="6">
        <v>63.1</v>
      </c>
      <c r="K88" s="6">
        <f t="shared" si="2"/>
        <v>26.59665</v>
      </c>
      <c r="L88" s="6">
        <f t="shared" si="3"/>
        <v>32.635689081143674</v>
      </c>
      <c r="M88">
        <v>6</v>
      </c>
      <c r="N88" t="s">
        <v>119</v>
      </c>
      <c r="O88">
        <v>12</v>
      </c>
      <c r="P88" t="s">
        <v>232</v>
      </c>
      <c r="Q88" t="s">
        <v>233</v>
      </c>
      <c r="R88" t="s">
        <v>22</v>
      </c>
      <c r="S88" t="s">
        <v>373</v>
      </c>
      <c r="T88">
        <v>150</v>
      </c>
    </row>
    <row r="89" spans="1:20">
      <c r="A89" s="1" t="s">
        <v>320</v>
      </c>
      <c r="B89" s="1" t="s">
        <v>370</v>
      </c>
      <c r="C89" t="s">
        <v>216</v>
      </c>
      <c r="D89" s="2">
        <v>740</v>
      </c>
      <c r="E89" t="s">
        <v>65</v>
      </c>
      <c r="F89" s="4">
        <v>110</v>
      </c>
      <c r="G89" s="4">
        <v>4</v>
      </c>
      <c r="H89" s="5">
        <v>17.600000000000001</v>
      </c>
      <c r="I89" s="6">
        <v>42.15</v>
      </c>
      <c r="J89" s="6">
        <v>63.1</v>
      </c>
      <c r="K89" s="6">
        <f t="shared" si="2"/>
        <v>26.59665</v>
      </c>
      <c r="L89" s="6">
        <f t="shared" si="3"/>
        <v>27.823052903279173</v>
      </c>
      <c r="M89">
        <v>6</v>
      </c>
      <c r="N89" t="s">
        <v>29</v>
      </c>
      <c r="O89">
        <v>13</v>
      </c>
      <c r="P89" t="s">
        <v>232</v>
      </c>
      <c r="Q89" t="s">
        <v>233</v>
      </c>
      <c r="R89" t="s">
        <v>45</v>
      </c>
      <c r="S89" t="s">
        <v>373</v>
      </c>
    </row>
    <row r="90" spans="1:20">
      <c r="A90" s="1" t="s">
        <v>260</v>
      </c>
      <c r="B90" s="1" t="s">
        <v>370</v>
      </c>
      <c r="C90" t="s">
        <v>124</v>
      </c>
      <c r="D90" s="2">
        <v>758</v>
      </c>
      <c r="E90" t="s">
        <v>20</v>
      </c>
      <c r="F90" s="4">
        <v>110</v>
      </c>
      <c r="G90" s="4">
        <v>6</v>
      </c>
      <c r="H90" s="5">
        <v>17.2</v>
      </c>
      <c r="I90" s="6">
        <v>44.14</v>
      </c>
      <c r="J90" s="6">
        <v>63.36</v>
      </c>
      <c r="K90" s="6">
        <f t="shared" si="2"/>
        <v>27.967103999999999</v>
      </c>
      <c r="L90" s="6">
        <f t="shared" si="3"/>
        <v>27.103271043008245</v>
      </c>
      <c r="M90">
        <v>6</v>
      </c>
      <c r="N90" t="s">
        <v>42</v>
      </c>
      <c r="O90">
        <v>17</v>
      </c>
      <c r="P90" t="s">
        <v>232</v>
      </c>
      <c r="Q90" t="s">
        <v>233</v>
      </c>
      <c r="R90" t="s">
        <v>45</v>
      </c>
      <c r="S90" t="s">
        <v>373</v>
      </c>
    </row>
    <row r="91" spans="1:20">
      <c r="A91" s="1" t="s">
        <v>314</v>
      </c>
      <c r="B91" s="1" t="s">
        <v>370</v>
      </c>
      <c r="C91" t="s">
        <v>209</v>
      </c>
      <c r="D91" s="2">
        <v>930</v>
      </c>
      <c r="E91" t="s">
        <v>65</v>
      </c>
      <c r="F91" s="4">
        <v>110</v>
      </c>
      <c r="G91" s="4">
        <v>4</v>
      </c>
      <c r="H91" s="5">
        <v>21.1</v>
      </c>
      <c r="I91" s="6">
        <v>44.14</v>
      </c>
      <c r="J91" s="6">
        <v>49.68</v>
      </c>
      <c r="K91" s="6">
        <f t="shared" si="2"/>
        <v>21.928751999999999</v>
      </c>
      <c r="L91" s="6">
        <f t="shared" si="3"/>
        <v>42.410074225838301</v>
      </c>
      <c r="M91">
        <v>6</v>
      </c>
      <c r="N91" t="s">
        <v>63</v>
      </c>
      <c r="O91">
        <v>18</v>
      </c>
      <c r="P91" t="s">
        <v>232</v>
      </c>
      <c r="Q91" t="s">
        <v>233</v>
      </c>
      <c r="R91" t="s">
        <v>22</v>
      </c>
      <c r="S91" t="s">
        <v>373</v>
      </c>
    </row>
    <row r="92" spans="1:20">
      <c r="A92" s="1" t="s">
        <v>288</v>
      </c>
      <c r="B92" s="1" t="s">
        <v>370</v>
      </c>
      <c r="C92" t="s">
        <v>170</v>
      </c>
      <c r="D92" s="2">
        <v>750</v>
      </c>
      <c r="E92" t="s">
        <v>28</v>
      </c>
      <c r="F92" s="4">
        <v>110</v>
      </c>
      <c r="G92" s="4">
        <v>5</v>
      </c>
      <c r="H92" s="5">
        <v>24.1</v>
      </c>
      <c r="I92" s="6">
        <v>31.14</v>
      </c>
      <c r="J92" s="6">
        <v>63.1</v>
      </c>
      <c r="K92" s="6">
        <f t="shared" si="2"/>
        <v>19.649339999999999</v>
      </c>
      <c r="L92" s="6">
        <f t="shared" si="3"/>
        <v>38.169220950932704</v>
      </c>
      <c r="M92">
        <v>6</v>
      </c>
      <c r="N92" t="s">
        <v>73</v>
      </c>
      <c r="O92">
        <v>16</v>
      </c>
      <c r="P92" t="s">
        <v>235</v>
      </c>
      <c r="Q92" t="s">
        <v>236</v>
      </c>
      <c r="R92" t="s">
        <v>45</v>
      </c>
      <c r="S92" t="s">
        <v>373</v>
      </c>
    </row>
    <row r="93" spans="1:20">
      <c r="A93" s="1" t="s">
        <v>259</v>
      </c>
      <c r="B93" t="s">
        <v>371</v>
      </c>
      <c r="C93" t="s">
        <v>122</v>
      </c>
      <c r="D93" s="2">
        <v>1030</v>
      </c>
      <c r="E93" t="s">
        <v>20</v>
      </c>
      <c r="F93" s="4">
        <v>110</v>
      </c>
      <c r="G93" s="4">
        <v>6</v>
      </c>
      <c r="H93" s="5">
        <v>19</v>
      </c>
      <c r="I93" s="6">
        <v>54.25</v>
      </c>
      <c r="J93" s="6">
        <v>67.489999999999995</v>
      </c>
      <c r="K93" s="6">
        <f t="shared" si="2"/>
        <v>36.613324999999996</v>
      </c>
      <c r="L93" s="6">
        <f t="shared" si="3"/>
        <v>28.131834516531892</v>
      </c>
      <c r="M93">
        <v>6</v>
      </c>
      <c r="N93" t="s">
        <v>123</v>
      </c>
      <c r="O93">
        <v>8</v>
      </c>
      <c r="P93" t="s">
        <v>232</v>
      </c>
      <c r="Q93" t="s">
        <v>233</v>
      </c>
      <c r="R93" t="s">
        <v>32</v>
      </c>
      <c r="S93" t="s">
        <v>374</v>
      </c>
    </row>
    <row r="94" spans="1:20">
      <c r="A94" s="1" t="s">
        <v>282</v>
      </c>
      <c r="B94" t="s">
        <v>371</v>
      </c>
      <c r="C94" t="s">
        <v>160</v>
      </c>
      <c r="D94" s="2">
        <v>1275</v>
      </c>
      <c r="E94" t="s">
        <v>28</v>
      </c>
      <c r="F94" s="4">
        <v>110</v>
      </c>
      <c r="G94" s="4">
        <v>5</v>
      </c>
      <c r="H94" s="5">
        <v>21.6</v>
      </c>
      <c r="I94" s="6">
        <v>58.97</v>
      </c>
      <c r="J94" s="6">
        <v>67.34</v>
      </c>
      <c r="K94" s="6">
        <f t="shared" si="2"/>
        <v>39.710397999999998</v>
      </c>
      <c r="L94" s="6">
        <f t="shared" si="3"/>
        <v>32.107459612970892</v>
      </c>
      <c r="M94">
        <v>5</v>
      </c>
      <c r="N94" t="s">
        <v>110</v>
      </c>
      <c r="O94">
        <v>5</v>
      </c>
      <c r="P94" t="s">
        <v>232</v>
      </c>
      <c r="Q94" t="s">
        <v>233</v>
      </c>
      <c r="R94" t="s">
        <v>32</v>
      </c>
      <c r="S94" t="s">
        <v>374</v>
      </c>
    </row>
    <row r="95" spans="1:20">
      <c r="A95" s="1" t="s">
        <v>247</v>
      </c>
      <c r="B95" t="s">
        <v>371</v>
      </c>
      <c r="C95" t="s">
        <v>102</v>
      </c>
      <c r="D95" s="2">
        <v>735</v>
      </c>
      <c r="E95" t="s">
        <v>20</v>
      </c>
      <c r="F95" s="4">
        <v>110</v>
      </c>
      <c r="G95" s="4">
        <v>6</v>
      </c>
      <c r="H95" s="5">
        <v>15.8</v>
      </c>
      <c r="I95" s="6">
        <v>46.42</v>
      </c>
      <c r="J95" s="6">
        <v>64.61</v>
      </c>
      <c r="K95" s="6">
        <f t="shared" si="2"/>
        <v>29.991961999999997</v>
      </c>
      <c r="L95" s="6">
        <f t="shared" si="3"/>
        <v>24.50656612595068</v>
      </c>
      <c r="M95">
        <v>6</v>
      </c>
      <c r="N95" t="s">
        <v>103</v>
      </c>
      <c r="O95">
        <v>10</v>
      </c>
      <c r="P95" t="s">
        <v>232</v>
      </c>
      <c r="Q95" t="s">
        <v>233</v>
      </c>
      <c r="R95" t="s">
        <v>26</v>
      </c>
      <c r="S95" t="s">
        <v>375</v>
      </c>
    </row>
    <row r="96" spans="1:20">
      <c r="A96" s="1" t="s">
        <v>274</v>
      </c>
      <c r="B96" t="s">
        <v>371</v>
      </c>
      <c r="C96" t="s">
        <v>147</v>
      </c>
      <c r="D96" s="2">
        <v>793</v>
      </c>
      <c r="E96" t="s">
        <v>28</v>
      </c>
      <c r="F96" s="4">
        <v>110</v>
      </c>
      <c r="G96" s="4">
        <v>5</v>
      </c>
      <c r="H96" s="5">
        <v>15.3</v>
      </c>
      <c r="I96" s="6">
        <v>55.81</v>
      </c>
      <c r="J96" s="6">
        <v>64.63</v>
      </c>
      <c r="K96" s="6">
        <f t="shared" si="2"/>
        <v>36.070003</v>
      </c>
      <c r="L96" s="6">
        <f t="shared" si="3"/>
        <v>21.985027281533633</v>
      </c>
      <c r="M96">
        <v>5</v>
      </c>
      <c r="N96" t="s">
        <v>148</v>
      </c>
      <c r="O96">
        <v>17</v>
      </c>
      <c r="P96" t="s">
        <v>232</v>
      </c>
      <c r="Q96" t="s">
        <v>234</v>
      </c>
      <c r="R96" t="s">
        <v>26</v>
      </c>
      <c r="S96" t="s">
        <v>375</v>
      </c>
      <c r="T96">
        <v>226</v>
      </c>
    </row>
    <row r="97" spans="1:20">
      <c r="A97" s="1" t="s">
        <v>253</v>
      </c>
      <c r="B97" t="s">
        <v>371</v>
      </c>
      <c r="C97" t="s">
        <v>111</v>
      </c>
      <c r="D97" s="2">
        <v>660</v>
      </c>
      <c r="E97" t="s">
        <v>20</v>
      </c>
      <c r="F97" s="4">
        <v>110</v>
      </c>
      <c r="G97" s="4">
        <v>6</v>
      </c>
      <c r="H97" s="5">
        <v>14</v>
      </c>
      <c r="I97" s="6">
        <v>47.21</v>
      </c>
      <c r="J97" s="6">
        <v>64.64</v>
      </c>
      <c r="K97" s="6">
        <f t="shared" si="2"/>
        <v>30.516544</v>
      </c>
      <c r="L97" s="6">
        <f t="shared" si="3"/>
        <v>21.627612877788522</v>
      </c>
      <c r="M97">
        <v>6</v>
      </c>
      <c r="N97" t="s">
        <v>112</v>
      </c>
      <c r="O97">
        <v>13</v>
      </c>
      <c r="P97" t="s">
        <v>232</v>
      </c>
      <c r="Q97" t="s">
        <v>233</v>
      </c>
      <c r="R97" t="s">
        <v>26</v>
      </c>
      <c r="S97" t="s">
        <v>375</v>
      </c>
    </row>
    <row r="98" spans="1:20">
      <c r="A98" s="1" t="s">
        <v>250</v>
      </c>
      <c r="B98" t="s">
        <v>371</v>
      </c>
      <c r="C98" t="s">
        <v>106</v>
      </c>
      <c r="D98" s="2">
        <v>1080</v>
      </c>
      <c r="E98" t="s">
        <v>20</v>
      </c>
      <c r="F98" s="4">
        <v>110</v>
      </c>
      <c r="G98" s="4">
        <v>6</v>
      </c>
      <c r="H98" s="5">
        <v>22</v>
      </c>
      <c r="I98" s="6">
        <v>49.14</v>
      </c>
      <c r="J98" s="6">
        <v>60.19</v>
      </c>
      <c r="K98" s="6">
        <f t="shared" si="2"/>
        <v>29.577365999999998</v>
      </c>
      <c r="L98" s="6">
        <f t="shared" si="3"/>
        <v>36.514407672407344</v>
      </c>
      <c r="M98">
        <v>6</v>
      </c>
      <c r="N98" t="s">
        <v>107</v>
      </c>
      <c r="O98">
        <v>3</v>
      </c>
      <c r="P98" t="s">
        <v>232</v>
      </c>
      <c r="Q98" t="s">
        <v>233</v>
      </c>
      <c r="R98" t="s">
        <v>26</v>
      </c>
      <c r="S98" t="s">
        <v>375</v>
      </c>
    </row>
    <row r="99" spans="1:20">
      <c r="A99" s="1" t="s">
        <v>330</v>
      </c>
      <c r="B99" t="s">
        <v>371</v>
      </c>
      <c r="C99" t="s">
        <v>229</v>
      </c>
      <c r="D99" s="2">
        <v>1152</v>
      </c>
      <c r="E99" t="s">
        <v>88</v>
      </c>
      <c r="F99" s="4">
        <v>110</v>
      </c>
      <c r="G99" s="4">
        <v>1</v>
      </c>
      <c r="H99" s="5">
        <v>25.4</v>
      </c>
      <c r="I99" s="6">
        <v>49.91</v>
      </c>
      <c r="J99" s="6">
        <v>57.93</v>
      </c>
      <c r="K99" s="6">
        <f t="shared" si="2"/>
        <v>28.912862999999998</v>
      </c>
      <c r="L99" s="6">
        <f t="shared" si="3"/>
        <v>39.84385773211045</v>
      </c>
      <c r="M99">
        <v>1</v>
      </c>
      <c r="N99" t="s">
        <v>230</v>
      </c>
      <c r="O99">
        <v>7</v>
      </c>
      <c r="P99" t="s">
        <v>232</v>
      </c>
      <c r="Q99" t="s">
        <v>233</v>
      </c>
      <c r="R99" t="s">
        <v>26</v>
      </c>
      <c r="S99" t="s">
        <v>375</v>
      </c>
      <c r="T99">
        <v>160</v>
      </c>
    </row>
    <row r="100" spans="1:20">
      <c r="A100" s="1" t="s">
        <v>261</v>
      </c>
      <c r="B100" t="s">
        <v>371</v>
      </c>
      <c r="C100" t="s">
        <v>125</v>
      </c>
      <c r="D100" s="2">
        <v>1070</v>
      </c>
      <c r="E100" t="s">
        <v>28</v>
      </c>
      <c r="F100" s="4">
        <v>110</v>
      </c>
      <c r="G100" s="4">
        <v>5</v>
      </c>
      <c r="H100" s="5">
        <v>25.2</v>
      </c>
      <c r="I100" s="6">
        <v>40.65</v>
      </c>
      <c r="J100" s="6">
        <v>59.49</v>
      </c>
      <c r="K100" s="6">
        <f t="shared" si="2"/>
        <v>24.182685000000003</v>
      </c>
      <c r="L100" s="6">
        <f t="shared" si="3"/>
        <v>44.246534245473562</v>
      </c>
      <c r="M100">
        <v>1</v>
      </c>
      <c r="N100" t="s">
        <v>126</v>
      </c>
      <c r="O100">
        <v>2</v>
      </c>
      <c r="P100" t="s">
        <v>232</v>
      </c>
      <c r="Q100" t="s">
        <v>233</v>
      </c>
      <c r="R100" t="s">
        <v>26</v>
      </c>
      <c r="S100" t="s">
        <v>375</v>
      </c>
      <c r="T100">
        <v>110</v>
      </c>
    </row>
    <row r="101" spans="1:20">
      <c r="A101" s="1" t="s">
        <v>327</v>
      </c>
      <c r="B101" t="s">
        <v>371</v>
      </c>
      <c r="C101" t="s">
        <v>225</v>
      </c>
      <c r="D101" s="2">
        <v>1160</v>
      </c>
      <c r="E101" t="s">
        <v>222</v>
      </c>
      <c r="F101" s="4">
        <v>110</v>
      </c>
      <c r="G101" s="4">
        <v>2</v>
      </c>
      <c r="H101" s="5">
        <v>25.6</v>
      </c>
      <c r="I101" s="6">
        <v>49.91</v>
      </c>
      <c r="J101" s="6">
        <v>57.93</v>
      </c>
      <c r="K101" s="6">
        <f t="shared" si="2"/>
        <v>28.912862999999998</v>
      </c>
      <c r="L101" s="6">
        <f t="shared" si="3"/>
        <v>40.120551188583434</v>
      </c>
      <c r="M101">
        <v>1</v>
      </c>
      <c r="N101" t="s">
        <v>226</v>
      </c>
      <c r="O101">
        <v>12</v>
      </c>
      <c r="P101" t="s">
        <v>232</v>
      </c>
      <c r="Q101" t="s">
        <v>233</v>
      </c>
      <c r="R101" t="s">
        <v>26</v>
      </c>
      <c r="S101" t="s">
        <v>375</v>
      </c>
      <c r="T101">
        <v>160</v>
      </c>
    </row>
    <row r="102" spans="1:20">
      <c r="A102" s="1" t="s">
        <v>311</v>
      </c>
      <c r="B102" t="s">
        <v>371</v>
      </c>
      <c r="C102" t="s">
        <v>206</v>
      </c>
      <c r="D102" s="2">
        <v>1195</v>
      </c>
      <c r="E102" t="s">
        <v>65</v>
      </c>
      <c r="F102" s="4">
        <v>110</v>
      </c>
      <c r="G102" s="4">
        <v>4</v>
      </c>
      <c r="H102" s="5">
        <v>26.5</v>
      </c>
      <c r="I102" s="6">
        <v>49.91</v>
      </c>
      <c r="J102" s="6">
        <v>57.93</v>
      </c>
      <c r="K102" s="6">
        <f t="shared" si="2"/>
        <v>28.912862999999998</v>
      </c>
      <c r="L102" s="6">
        <f t="shared" si="3"/>
        <v>41.331085060652768</v>
      </c>
      <c r="M102">
        <v>1</v>
      </c>
      <c r="N102" t="s">
        <v>190</v>
      </c>
      <c r="O102">
        <v>10</v>
      </c>
      <c r="P102" t="s">
        <v>232</v>
      </c>
      <c r="Q102" t="s">
        <v>233</v>
      </c>
      <c r="R102" t="s">
        <v>26</v>
      </c>
      <c r="S102" t="s">
        <v>375</v>
      </c>
      <c r="T102">
        <v>160</v>
      </c>
    </row>
    <row r="103" spans="1:20">
      <c r="A103" s="1" t="s">
        <v>245</v>
      </c>
      <c r="B103" t="s">
        <v>371</v>
      </c>
      <c r="C103" t="s">
        <v>99</v>
      </c>
      <c r="D103" s="2">
        <v>1100</v>
      </c>
      <c r="E103" t="s">
        <v>20</v>
      </c>
      <c r="F103" s="4">
        <v>110</v>
      </c>
      <c r="G103" s="4">
        <v>6</v>
      </c>
      <c r="H103" s="5">
        <v>18.7</v>
      </c>
      <c r="I103" s="6">
        <v>58.76</v>
      </c>
      <c r="J103" s="6">
        <v>65.38</v>
      </c>
      <c r="K103" s="6">
        <f t="shared" si="2"/>
        <v>38.417287999999992</v>
      </c>
      <c r="L103" s="6">
        <f t="shared" si="3"/>
        <v>28.632942543992179</v>
      </c>
      <c r="M103">
        <v>6</v>
      </c>
      <c r="N103" t="s">
        <v>100</v>
      </c>
      <c r="O103">
        <v>15</v>
      </c>
      <c r="P103" t="s">
        <v>232</v>
      </c>
      <c r="Q103" t="s">
        <v>233</v>
      </c>
      <c r="R103" t="s">
        <v>32</v>
      </c>
      <c r="S103" t="s">
        <v>374</v>
      </c>
    </row>
    <row r="104" spans="1:20">
      <c r="A104" s="1" t="s">
        <v>322</v>
      </c>
      <c r="B104" t="s">
        <v>371</v>
      </c>
      <c r="C104" t="s">
        <v>218</v>
      </c>
      <c r="D104" s="2">
        <v>1038</v>
      </c>
      <c r="E104" t="s">
        <v>84</v>
      </c>
      <c r="F104" s="4">
        <v>110</v>
      </c>
      <c r="G104" s="4">
        <v>3</v>
      </c>
      <c r="H104" s="5">
        <v>24.8</v>
      </c>
      <c r="I104" s="6">
        <v>40.18</v>
      </c>
      <c r="J104" s="6">
        <v>59.6</v>
      </c>
      <c r="K104" s="6">
        <f t="shared" si="2"/>
        <v>23.947279999999999</v>
      </c>
      <c r="L104" s="6">
        <f t="shared" si="3"/>
        <v>43.345214988925676</v>
      </c>
      <c r="M104">
        <v>1</v>
      </c>
      <c r="N104" t="s">
        <v>126</v>
      </c>
      <c r="O104">
        <v>2</v>
      </c>
      <c r="P104" t="s">
        <v>232</v>
      </c>
      <c r="Q104" t="s">
        <v>233</v>
      </c>
      <c r="R104" t="s">
        <v>26</v>
      </c>
      <c r="S104" t="s">
        <v>375</v>
      </c>
      <c r="T104">
        <v>105</v>
      </c>
    </row>
    <row r="105" spans="1:20">
      <c r="A105" s="1" t="s">
        <v>324</v>
      </c>
      <c r="B105" t="s">
        <v>371</v>
      </c>
      <c r="C105" t="s">
        <v>221</v>
      </c>
      <c r="D105" s="2">
        <v>1145</v>
      </c>
      <c r="E105" t="s">
        <v>222</v>
      </c>
      <c r="F105" s="4">
        <v>110</v>
      </c>
      <c r="G105" s="4">
        <v>2</v>
      </c>
      <c r="H105" s="5">
        <v>25.7</v>
      </c>
      <c r="I105" s="6">
        <v>49.48</v>
      </c>
      <c r="J105" s="6">
        <v>57.96</v>
      </c>
      <c r="K105" s="6">
        <f t="shared" si="2"/>
        <v>28.678608000000001</v>
      </c>
      <c r="L105" s="6">
        <f t="shared" si="3"/>
        <v>39.925229285884448</v>
      </c>
      <c r="M105">
        <v>1</v>
      </c>
      <c r="N105" t="s">
        <v>185</v>
      </c>
      <c r="O105">
        <v>8</v>
      </c>
      <c r="P105" t="s">
        <v>232</v>
      </c>
      <c r="Q105" t="s">
        <v>233</v>
      </c>
      <c r="R105" t="s">
        <v>26</v>
      </c>
      <c r="S105" t="s">
        <v>375</v>
      </c>
      <c r="T105">
        <v>150</v>
      </c>
    </row>
    <row r="106" spans="1:20">
      <c r="A106" s="1" t="s">
        <v>301</v>
      </c>
      <c r="B106" t="s">
        <v>371</v>
      </c>
      <c r="C106" t="s">
        <v>189</v>
      </c>
      <c r="D106" s="2">
        <v>1160</v>
      </c>
      <c r="E106" t="s">
        <v>65</v>
      </c>
      <c r="F106" s="4">
        <v>110</v>
      </c>
      <c r="G106" s="4">
        <v>4</v>
      </c>
      <c r="H106" s="5">
        <v>25.8</v>
      </c>
      <c r="I106" s="6">
        <v>49.48</v>
      </c>
      <c r="J106" s="6">
        <v>57.96</v>
      </c>
      <c r="K106" s="6">
        <f t="shared" si="2"/>
        <v>28.678608000000001</v>
      </c>
      <c r="L106" s="6">
        <f t="shared" si="3"/>
        <v>40.448267224127477</v>
      </c>
      <c r="M106">
        <v>1</v>
      </c>
      <c r="N106" t="s">
        <v>190</v>
      </c>
      <c r="O106">
        <v>10</v>
      </c>
      <c r="P106" t="s">
        <v>232</v>
      </c>
      <c r="Q106" t="s">
        <v>233</v>
      </c>
      <c r="R106" t="s">
        <v>26</v>
      </c>
      <c r="S106" t="s">
        <v>375</v>
      </c>
      <c r="T106">
        <v>160</v>
      </c>
    </row>
    <row r="107" spans="1:20">
      <c r="A107" s="1" t="s">
        <v>307</v>
      </c>
      <c r="B107" t="s">
        <v>371</v>
      </c>
      <c r="C107" t="s">
        <v>198</v>
      </c>
      <c r="D107" s="2">
        <v>1200</v>
      </c>
      <c r="E107" t="s">
        <v>65</v>
      </c>
      <c r="F107" s="4">
        <v>110</v>
      </c>
      <c r="G107" s="4">
        <v>4</v>
      </c>
      <c r="H107" s="5">
        <v>28.2</v>
      </c>
      <c r="I107" s="6">
        <v>41.25</v>
      </c>
      <c r="J107" s="6">
        <v>57.96</v>
      </c>
      <c r="K107" s="6">
        <f t="shared" si="2"/>
        <v>23.9085</v>
      </c>
      <c r="L107" s="6">
        <f t="shared" si="3"/>
        <v>50.19135453918063</v>
      </c>
      <c r="M107">
        <v>1</v>
      </c>
      <c r="N107" t="s">
        <v>199</v>
      </c>
      <c r="O107">
        <v>3</v>
      </c>
      <c r="P107" t="s">
        <v>232</v>
      </c>
      <c r="Q107" t="s">
        <v>233</v>
      </c>
      <c r="R107" t="s">
        <v>26</v>
      </c>
      <c r="S107" t="s">
        <v>375</v>
      </c>
      <c r="T107">
        <v>110</v>
      </c>
    </row>
    <row r="108" spans="1:20">
      <c r="A108" s="1" t="s">
        <v>293</v>
      </c>
      <c r="B108" t="s">
        <v>371</v>
      </c>
      <c r="C108" t="s">
        <v>176</v>
      </c>
      <c r="D108" s="2">
        <v>980</v>
      </c>
      <c r="E108" t="s">
        <v>28</v>
      </c>
      <c r="F108" s="4">
        <v>110</v>
      </c>
      <c r="G108" s="4">
        <v>5</v>
      </c>
      <c r="H108" s="5">
        <v>21.9</v>
      </c>
      <c r="I108" s="6">
        <v>44.8</v>
      </c>
      <c r="J108" s="6">
        <v>66.41</v>
      </c>
      <c r="K108" s="6">
        <f t="shared" si="2"/>
        <v>29.751679999999997</v>
      </c>
      <c r="L108" s="6">
        <f t="shared" si="3"/>
        <v>32.939316368016868</v>
      </c>
      <c r="M108">
        <v>6</v>
      </c>
      <c r="N108" t="s">
        <v>177</v>
      </c>
      <c r="O108">
        <v>9</v>
      </c>
      <c r="P108" t="s">
        <v>235</v>
      </c>
      <c r="Q108" t="s">
        <v>236</v>
      </c>
      <c r="R108" t="s">
        <v>32</v>
      </c>
      <c r="S108" t="s">
        <v>374</v>
      </c>
    </row>
    <row r="109" spans="1:20">
      <c r="A109" s="1" t="s">
        <v>240</v>
      </c>
      <c r="B109" t="s">
        <v>371</v>
      </c>
      <c r="C109" t="s">
        <v>90</v>
      </c>
      <c r="D109" s="2">
        <v>656</v>
      </c>
      <c r="E109" t="s">
        <v>20</v>
      </c>
      <c r="F109" s="4">
        <v>110</v>
      </c>
      <c r="G109" s="4">
        <v>6</v>
      </c>
      <c r="H109" s="5">
        <v>14</v>
      </c>
      <c r="I109" s="6">
        <v>46.75</v>
      </c>
      <c r="J109" s="6">
        <v>51.15</v>
      </c>
      <c r="K109" s="6">
        <f t="shared" si="2"/>
        <v>23.912624999999998</v>
      </c>
      <c r="L109" s="6">
        <f t="shared" si="3"/>
        <v>27.433207353855966</v>
      </c>
      <c r="M109">
        <v>6</v>
      </c>
      <c r="N109" t="s">
        <v>91</v>
      </c>
      <c r="O109">
        <v>18</v>
      </c>
      <c r="P109" t="s">
        <v>232</v>
      </c>
      <c r="Q109" t="s">
        <v>233</v>
      </c>
      <c r="R109" t="s">
        <v>26</v>
      </c>
      <c r="S109" t="s">
        <v>375</v>
      </c>
    </row>
    <row r="110" spans="1:20">
      <c r="A110" s="1" t="s">
        <v>326</v>
      </c>
      <c r="B110" t="s">
        <v>371</v>
      </c>
      <c r="C110" t="s">
        <v>224</v>
      </c>
      <c r="D110" s="2">
        <v>1230</v>
      </c>
      <c r="E110" t="s">
        <v>222</v>
      </c>
      <c r="F110" s="4">
        <v>110</v>
      </c>
      <c r="G110" s="4">
        <v>2</v>
      </c>
      <c r="H110" s="5">
        <v>25.9</v>
      </c>
      <c r="I110" s="6">
        <v>52.49</v>
      </c>
      <c r="J110" s="6">
        <v>58.48</v>
      </c>
      <c r="K110" s="6">
        <f t="shared" si="2"/>
        <v>30.696151999999998</v>
      </c>
      <c r="L110" s="6">
        <f t="shared" si="3"/>
        <v>40.070169055717479</v>
      </c>
      <c r="M110">
        <v>1</v>
      </c>
      <c r="N110" t="s">
        <v>185</v>
      </c>
      <c r="O110">
        <v>8</v>
      </c>
      <c r="P110" t="s">
        <v>232</v>
      </c>
      <c r="Q110" t="s">
        <v>233</v>
      </c>
      <c r="R110" t="s">
        <v>32</v>
      </c>
      <c r="S110" t="s">
        <v>374</v>
      </c>
      <c r="T110">
        <v>150</v>
      </c>
    </row>
    <row r="111" spans="1:20">
      <c r="A111" s="1" t="s">
        <v>328</v>
      </c>
      <c r="B111" t="s">
        <v>371</v>
      </c>
      <c r="C111" t="s">
        <v>227</v>
      </c>
      <c r="D111" s="2">
        <v>1370</v>
      </c>
      <c r="E111" t="s">
        <v>88</v>
      </c>
      <c r="F111" s="4">
        <v>110</v>
      </c>
      <c r="G111" s="4">
        <v>1</v>
      </c>
      <c r="H111" s="5">
        <v>29</v>
      </c>
      <c r="I111" s="6">
        <v>52.49</v>
      </c>
      <c r="J111" s="6">
        <v>58.48</v>
      </c>
      <c r="K111" s="6">
        <f t="shared" si="2"/>
        <v>30.696151999999998</v>
      </c>
      <c r="L111" s="6">
        <f t="shared" si="3"/>
        <v>44.631001305961739</v>
      </c>
      <c r="M111">
        <v>1</v>
      </c>
      <c r="N111" t="s">
        <v>135</v>
      </c>
      <c r="O111">
        <v>11</v>
      </c>
      <c r="P111" t="s">
        <v>232</v>
      </c>
      <c r="Q111" t="s">
        <v>233</v>
      </c>
      <c r="R111" t="s">
        <v>32</v>
      </c>
      <c r="S111" t="s">
        <v>374</v>
      </c>
      <c r="T111">
        <v>160</v>
      </c>
    </row>
    <row r="112" spans="1:20">
      <c r="A112" s="1" t="s">
        <v>303</v>
      </c>
      <c r="B112" t="s">
        <v>371</v>
      </c>
      <c r="C112" t="s">
        <v>192</v>
      </c>
      <c r="D112" s="2">
        <v>1228</v>
      </c>
      <c r="E112" t="s">
        <v>65</v>
      </c>
      <c r="F112" s="4">
        <v>110</v>
      </c>
      <c r="G112" s="4">
        <v>4</v>
      </c>
      <c r="H112" s="5">
        <v>25.6</v>
      </c>
      <c r="I112" s="6">
        <v>52.49</v>
      </c>
      <c r="J112" s="6">
        <v>58.48</v>
      </c>
      <c r="K112" s="6">
        <f t="shared" si="2"/>
        <v>30.696151999999998</v>
      </c>
      <c r="L112" s="6">
        <f t="shared" si="3"/>
        <v>40.005014309285414</v>
      </c>
      <c r="M112">
        <v>1</v>
      </c>
      <c r="N112" t="s">
        <v>146</v>
      </c>
      <c r="O112">
        <v>13</v>
      </c>
      <c r="P112" t="s">
        <v>232</v>
      </c>
      <c r="Q112" t="s">
        <v>233</v>
      </c>
      <c r="R112" t="s">
        <v>32</v>
      </c>
      <c r="S112" t="s">
        <v>374</v>
      </c>
      <c r="T112">
        <v>160</v>
      </c>
    </row>
    <row r="113" spans="1:20">
      <c r="A113" s="1" t="s">
        <v>269</v>
      </c>
      <c r="B113" t="s">
        <v>371</v>
      </c>
      <c r="C113" t="s">
        <v>139</v>
      </c>
      <c r="D113" s="2">
        <v>960</v>
      </c>
      <c r="E113" t="s">
        <v>28</v>
      </c>
      <c r="F113" s="4">
        <v>110</v>
      </c>
      <c r="G113" s="4">
        <v>5</v>
      </c>
      <c r="H113" s="5">
        <v>13.8</v>
      </c>
      <c r="I113" s="6">
        <v>69.36</v>
      </c>
      <c r="J113" s="6">
        <v>66.760000000000005</v>
      </c>
      <c r="K113" s="6">
        <f t="shared" si="2"/>
        <v>46.304736000000005</v>
      </c>
      <c r="L113" s="6">
        <f t="shared" si="3"/>
        <v>20.732220565948154</v>
      </c>
      <c r="M113">
        <v>5</v>
      </c>
      <c r="N113" t="s">
        <v>140</v>
      </c>
      <c r="O113">
        <v>6</v>
      </c>
      <c r="P113" t="s">
        <v>232</v>
      </c>
      <c r="Q113" t="s">
        <v>234</v>
      </c>
      <c r="R113" t="s">
        <v>32</v>
      </c>
      <c r="S113" t="s">
        <v>374</v>
      </c>
    </row>
    <row r="114" spans="1:20">
      <c r="A114" s="1" t="s">
        <v>304</v>
      </c>
      <c r="B114" t="s">
        <v>371</v>
      </c>
      <c r="C114" t="s">
        <v>193</v>
      </c>
      <c r="D114" s="2">
        <v>1145</v>
      </c>
      <c r="E114" t="s">
        <v>65</v>
      </c>
      <c r="F114" s="4">
        <v>110</v>
      </c>
      <c r="G114" s="4">
        <v>4</v>
      </c>
      <c r="H114" s="5">
        <v>26.5</v>
      </c>
      <c r="I114" s="6">
        <v>41.68</v>
      </c>
      <c r="J114" s="6">
        <v>58.27</v>
      </c>
      <c r="K114" s="6">
        <f t="shared" si="2"/>
        <v>24.286936000000001</v>
      </c>
      <c r="L114" s="6">
        <f t="shared" si="3"/>
        <v>47.144687168443149</v>
      </c>
      <c r="M114">
        <v>1</v>
      </c>
      <c r="N114" t="s">
        <v>194</v>
      </c>
      <c r="O114">
        <v>9</v>
      </c>
      <c r="P114" t="s">
        <v>232</v>
      </c>
      <c r="Q114" t="s">
        <v>233</v>
      </c>
      <c r="R114" t="s">
        <v>26</v>
      </c>
      <c r="S114" t="s">
        <v>375</v>
      </c>
      <c r="T114">
        <v>110</v>
      </c>
    </row>
    <row r="115" spans="1:20">
      <c r="A115" s="1" t="s">
        <v>329</v>
      </c>
      <c r="B115" t="s">
        <v>371</v>
      </c>
      <c r="C115" t="s">
        <v>228</v>
      </c>
      <c r="D115" s="2">
        <v>1165</v>
      </c>
      <c r="E115" t="s">
        <v>88</v>
      </c>
      <c r="F115" s="4">
        <v>110</v>
      </c>
      <c r="G115" s="4">
        <v>1</v>
      </c>
      <c r="H115" s="5">
        <v>25.9</v>
      </c>
      <c r="I115" s="6">
        <v>49.92</v>
      </c>
      <c r="J115" s="6">
        <v>58.27</v>
      </c>
      <c r="K115" s="6">
        <f t="shared" si="2"/>
        <v>29.088384000000001</v>
      </c>
      <c r="L115" s="6">
        <f t="shared" si="3"/>
        <v>40.050351370498959</v>
      </c>
      <c r="M115">
        <v>1</v>
      </c>
      <c r="N115" t="s">
        <v>226</v>
      </c>
      <c r="O115">
        <v>12</v>
      </c>
      <c r="P115" t="s">
        <v>232</v>
      </c>
      <c r="Q115" t="s">
        <v>233</v>
      </c>
      <c r="R115" t="s">
        <v>26</v>
      </c>
      <c r="S115" t="s">
        <v>375</v>
      </c>
      <c r="T115">
        <v>150</v>
      </c>
    </row>
    <row r="116" spans="1:20">
      <c r="A116" s="1" t="s">
        <v>321</v>
      </c>
      <c r="B116" t="s">
        <v>371</v>
      </c>
      <c r="C116" t="s">
        <v>217</v>
      </c>
      <c r="D116" s="2">
        <v>1090</v>
      </c>
      <c r="E116" t="s">
        <v>65</v>
      </c>
      <c r="F116" s="4">
        <v>110</v>
      </c>
      <c r="G116" s="4">
        <v>4</v>
      </c>
      <c r="H116" s="5">
        <v>25.2</v>
      </c>
      <c r="I116" s="6">
        <v>41.68</v>
      </c>
      <c r="J116" s="6">
        <v>58.27</v>
      </c>
      <c r="K116" s="6">
        <f t="shared" si="2"/>
        <v>24.286936000000001</v>
      </c>
      <c r="L116" s="6">
        <f t="shared" si="3"/>
        <v>44.880095208386926</v>
      </c>
      <c r="M116">
        <v>1</v>
      </c>
      <c r="N116" t="s">
        <v>199</v>
      </c>
      <c r="O116">
        <v>3</v>
      </c>
      <c r="P116" t="s">
        <v>232</v>
      </c>
      <c r="Q116" t="s">
        <v>233</v>
      </c>
      <c r="R116" t="s">
        <v>26</v>
      </c>
      <c r="S116" t="s">
        <v>375</v>
      </c>
      <c r="T116">
        <v>105</v>
      </c>
    </row>
    <row r="117" spans="1:20">
      <c r="A117" s="1" t="s">
        <v>291</v>
      </c>
      <c r="B117" t="s">
        <v>371</v>
      </c>
      <c r="C117" t="s">
        <v>173</v>
      </c>
      <c r="D117" s="2">
        <v>1200</v>
      </c>
      <c r="E117" t="s">
        <v>28</v>
      </c>
      <c r="F117" s="4">
        <v>110</v>
      </c>
      <c r="G117" s="4">
        <v>5</v>
      </c>
      <c r="H117" s="5">
        <v>26.5</v>
      </c>
      <c r="I117" s="6">
        <v>49.92</v>
      </c>
      <c r="J117" s="6">
        <v>58.27</v>
      </c>
      <c r="K117" s="6">
        <f t="shared" si="2"/>
        <v>29.088384000000001</v>
      </c>
      <c r="L117" s="6">
        <f t="shared" si="3"/>
        <v>41.253580810814377</v>
      </c>
      <c r="M117">
        <v>1</v>
      </c>
      <c r="N117" t="s">
        <v>174</v>
      </c>
      <c r="O117">
        <v>6</v>
      </c>
      <c r="P117" t="s">
        <v>232</v>
      </c>
      <c r="Q117" t="s">
        <v>233</v>
      </c>
      <c r="R117" t="s">
        <v>26</v>
      </c>
      <c r="S117" t="s">
        <v>375</v>
      </c>
      <c r="T117">
        <v>165</v>
      </c>
    </row>
    <row r="118" spans="1:20">
      <c r="A118" s="1" t="s">
        <v>325</v>
      </c>
      <c r="B118" t="s">
        <v>371</v>
      </c>
      <c r="C118" t="s">
        <v>223</v>
      </c>
      <c r="D118" s="2">
        <v>1050</v>
      </c>
      <c r="E118" t="s">
        <v>222</v>
      </c>
      <c r="F118" s="4">
        <v>110</v>
      </c>
      <c r="G118" s="4">
        <v>2</v>
      </c>
      <c r="H118" s="5">
        <v>26.1</v>
      </c>
      <c r="I118" s="6">
        <v>40.840000000000003</v>
      </c>
      <c r="J118" s="6">
        <v>60.76</v>
      </c>
      <c r="K118" s="6">
        <f t="shared" si="2"/>
        <v>24.814384</v>
      </c>
      <c r="L118" s="6">
        <f t="shared" si="3"/>
        <v>42.314167460292381</v>
      </c>
      <c r="M118">
        <v>1</v>
      </c>
      <c r="N118" t="s">
        <v>194</v>
      </c>
      <c r="O118">
        <v>9</v>
      </c>
      <c r="P118" t="s">
        <v>232</v>
      </c>
      <c r="Q118" t="s">
        <v>233</v>
      </c>
      <c r="R118" t="s">
        <v>26</v>
      </c>
      <c r="S118" t="s">
        <v>375</v>
      </c>
      <c r="T118">
        <v>90</v>
      </c>
    </row>
    <row r="119" spans="1:20">
      <c r="A119" s="1" t="s">
        <v>295</v>
      </c>
      <c r="B119" t="s">
        <v>371</v>
      </c>
      <c r="C119" t="s">
        <v>179</v>
      </c>
      <c r="D119" s="2">
        <v>1060</v>
      </c>
      <c r="E119" t="s">
        <v>28</v>
      </c>
      <c r="F119" s="4">
        <v>110</v>
      </c>
      <c r="G119" s="4">
        <v>5</v>
      </c>
      <c r="H119" s="5">
        <v>25.9</v>
      </c>
      <c r="I119" s="6">
        <v>39.29</v>
      </c>
      <c r="J119" s="6">
        <v>60.76</v>
      </c>
      <c r="K119" s="6">
        <f t="shared" si="2"/>
        <v>23.872603999999995</v>
      </c>
      <c r="L119" s="6">
        <f t="shared" si="3"/>
        <v>44.402361803513358</v>
      </c>
      <c r="M119">
        <v>1</v>
      </c>
      <c r="N119" t="s">
        <v>126</v>
      </c>
      <c r="O119">
        <v>2</v>
      </c>
      <c r="P119" t="s">
        <v>232</v>
      </c>
      <c r="Q119" t="s">
        <v>233</v>
      </c>
      <c r="R119" t="s">
        <v>26</v>
      </c>
      <c r="S119" t="s">
        <v>375</v>
      </c>
      <c r="T119">
        <v>110</v>
      </c>
    </row>
    <row r="120" spans="1:20">
      <c r="A120" s="1" t="s">
        <v>268</v>
      </c>
      <c r="B120" t="s">
        <v>371</v>
      </c>
      <c r="C120" t="s">
        <v>138</v>
      </c>
      <c r="D120" s="2">
        <v>1228</v>
      </c>
      <c r="E120" t="s">
        <v>28</v>
      </c>
      <c r="F120" s="4">
        <v>110</v>
      </c>
      <c r="G120" s="4">
        <v>5</v>
      </c>
      <c r="H120" s="5">
        <v>30.4</v>
      </c>
      <c r="I120" s="6">
        <v>39.29</v>
      </c>
      <c r="J120" s="6">
        <v>60.76</v>
      </c>
      <c r="K120" s="6">
        <f t="shared" si="2"/>
        <v>23.872603999999995</v>
      </c>
      <c r="L120" s="6">
        <f t="shared" si="3"/>
        <v>51.439717259164532</v>
      </c>
      <c r="M120">
        <v>1</v>
      </c>
      <c r="N120" t="s">
        <v>135</v>
      </c>
      <c r="O120">
        <v>11</v>
      </c>
      <c r="P120" t="s">
        <v>232</v>
      </c>
      <c r="Q120" t="s">
        <v>233</v>
      </c>
      <c r="R120" t="s">
        <v>26</v>
      </c>
      <c r="S120" t="s">
        <v>375</v>
      </c>
      <c r="T120">
        <v>110</v>
      </c>
    </row>
    <row r="121" spans="1:20">
      <c r="A121" s="1" t="s">
        <v>273</v>
      </c>
      <c r="B121" t="s">
        <v>371</v>
      </c>
      <c r="C121" t="s">
        <v>145</v>
      </c>
      <c r="D121" s="2">
        <v>1068</v>
      </c>
      <c r="E121" t="s">
        <v>28</v>
      </c>
      <c r="F121" s="4">
        <v>110</v>
      </c>
      <c r="G121" s="4">
        <v>5</v>
      </c>
      <c r="H121" s="5">
        <v>26.5</v>
      </c>
      <c r="I121" s="6">
        <v>40.840000000000003</v>
      </c>
      <c r="J121" s="6">
        <v>60.76</v>
      </c>
      <c r="K121" s="6">
        <f t="shared" si="2"/>
        <v>24.814384</v>
      </c>
      <c r="L121" s="6">
        <f t="shared" si="3"/>
        <v>43.039553188183113</v>
      </c>
      <c r="M121">
        <v>1</v>
      </c>
      <c r="N121" t="s">
        <v>146</v>
      </c>
      <c r="O121">
        <v>13</v>
      </c>
      <c r="P121" t="s">
        <v>232</v>
      </c>
      <c r="Q121" t="s">
        <v>233</v>
      </c>
      <c r="R121" t="s">
        <v>26</v>
      </c>
      <c r="S121" t="s">
        <v>375</v>
      </c>
      <c r="T121">
        <v>95</v>
      </c>
    </row>
    <row r="122" spans="1:20">
      <c r="A122" s="1" t="s">
        <v>331</v>
      </c>
      <c r="B122" t="s">
        <v>371</v>
      </c>
      <c r="C122" t="s">
        <v>231</v>
      </c>
      <c r="D122" s="2">
        <v>1066</v>
      </c>
      <c r="E122" t="s">
        <v>88</v>
      </c>
      <c r="F122" s="4">
        <v>110</v>
      </c>
      <c r="G122" s="4">
        <v>1</v>
      </c>
      <c r="H122" s="5">
        <v>26.6</v>
      </c>
      <c r="I122" s="6">
        <v>40.840000000000003</v>
      </c>
      <c r="J122" s="6">
        <v>60.76</v>
      </c>
      <c r="K122" s="6">
        <f t="shared" si="2"/>
        <v>24.814384</v>
      </c>
      <c r="L122" s="6">
        <f t="shared" si="3"/>
        <v>42.958954773973034</v>
      </c>
      <c r="M122">
        <v>1</v>
      </c>
      <c r="N122" t="s">
        <v>190</v>
      </c>
      <c r="O122">
        <v>10</v>
      </c>
      <c r="P122" t="s">
        <v>232</v>
      </c>
      <c r="Q122" t="s">
        <v>233</v>
      </c>
      <c r="R122" t="s">
        <v>26</v>
      </c>
      <c r="S122" t="s">
        <v>375</v>
      </c>
      <c r="T122">
        <v>90</v>
      </c>
    </row>
    <row r="123" spans="1:20">
      <c r="A123" s="1" t="s">
        <v>323</v>
      </c>
      <c r="B123" t="s">
        <v>371</v>
      </c>
      <c r="C123" t="s">
        <v>219</v>
      </c>
      <c r="D123" s="2">
        <v>1030</v>
      </c>
      <c r="E123" t="s">
        <v>84</v>
      </c>
      <c r="F123" s="4">
        <v>110</v>
      </c>
      <c r="G123" s="4">
        <v>3</v>
      </c>
      <c r="H123" s="5">
        <v>25.6</v>
      </c>
      <c r="I123" s="6">
        <v>40.840000000000003</v>
      </c>
      <c r="J123" s="6">
        <v>60.76</v>
      </c>
      <c r="K123" s="6">
        <f t="shared" si="2"/>
        <v>24.814384</v>
      </c>
      <c r="L123" s="6">
        <f t="shared" si="3"/>
        <v>41.508183318191577</v>
      </c>
      <c r="M123">
        <v>1</v>
      </c>
      <c r="N123" t="s">
        <v>220</v>
      </c>
      <c r="O123">
        <v>5</v>
      </c>
      <c r="P123" t="s">
        <v>232</v>
      </c>
      <c r="Q123" t="s">
        <v>233</v>
      </c>
      <c r="R123" t="s">
        <v>26</v>
      </c>
      <c r="S123" t="s">
        <v>375</v>
      </c>
      <c r="T123">
        <v>90</v>
      </c>
    </row>
    <row r="124" spans="1:20">
      <c r="A124" s="1" t="s">
        <v>298</v>
      </c>
      <c r="B124" t="s">
        <v>371</v>
      </c>
      <c r="C124" t="s">
        <v>184</v>
      </c>
      <c r="D124" s="2">
        <v>1232</v>
      </c>
      <c r="E124" t="s">
        <v>65</v>
      </c>
      <c r="F124" s="4">
        <v>110</v>
      </c>
      <c r="G124" s="4">
        <v>4</v>
      </c>
      <c r="H124" s="5">
        <v>26.8</v>
      </c>
      <c r="I124" s="6">
        <v>51.16</v>
      </c>
      <c r="J124" s="6">
        <v>60.24</v>
      </c>
      <c r="K124" s="6">
        <f t="shared" si="2"/>
        <v>30.818784000000001</v>
      </c>
      <c r="L124" s="6">
        <f t="shared" si="3"/>
        <v>39.975620063400292</v>
      </c>
      <c r="M124">
        <v>1</v>
      </c>
      <c r="N124" t="s">
        <v>185</v>
      </c>
      <c r="O124">
        <v>8</v>
      </c>
      <c r="P124" t="s">
        <v>232</v>
      </c>
      <c r="Q124" t="s">
        <v>233</v>
      </c>
      <c r="R124" t="s">
        <v>26</v>
      </c>
      <c r="S124" t="s">
        <v>375</v>
      </c>
      <c r="T124">
        <v>150</v>
      </c>
    </row>
    <row r="125" spans="1:20">
      <c r="A125" s="1" t="s">
        <v>302</v>
      </c>
      <c r="B125" t="s">
        <v>371</v>
      </c>
      <c r="C125" t="s">
        <v>191</v>
      </c>
      <c r="D125" s="2">
        <v>1250</v>
      </c>
      <c r="E125" t="s">
        <v>65</v>
      </c>
      <c r="F125" s="4">
        <v>110</v>
      </c>
      <c r="G125" s="4">
        <v>4</v>
      </c>
      <c r="H125" s="5">
        <v>27</v>
      </c>
      <c r="I125" s="6">
        <v>51.16</v>
      </c>
      <c r="J125" s="6">
        <v>60.24</v>
      </c>
      <c r="K125" s="6">
        <f t="shared" si="2"/>
        <v>30.818784000000001</v>
      </c>
      <c r="L125" s="6">
        <f t="shared" si="3"/>
        <v>40.559679447443479</v>
      </c>
      <c r="M125">
        <v>1</v>
      </c>
      <c r="N125" t="s">
        <v>190</v>
      </c>
      <c r="O125">
        <v>10</v>
      </c>
      <c r="P125" t="s">
        <v>232</v>
      </c>
      <c r="Q125" t="s">
        <v>233</v>
      </c>
      <c r="R125" t="s">
        <v>26</v>
      </c>
      <c r="S125" t="s">
        <v>375</v>
      </c>
      <c r="T125">
        <v>160</v>
      </c>
    </row>
    <row r="126" spans="1:20">
      <c r="A126" s="1" t="s">
        <v>266</v>
      </c>
      <c r="B126" t="s">
        <v>371</v>
      </c>
      <c r="C126" t="s">
        <v>134</v>
      </c>
      <c r="D126" s="2">
        <v>1188</v>
      </c>
      <c r="E126" t="s">
        <v>28</v>
      </c>
      <c r="F126" s="4">
        <v>110</v>
      </c>
      <c r="G126" s="4">
        <v>5</v>
      </c>
      <c r="H126" s="5">
        <v>26.4</v>
      </c>
      <c r="I126" s="6">
        <v>49.48</v>
      </c>
      <c r="J126" s="6">
        <v>57.96</v>
      </c>
      <c r="K126" s="6">
        <f t="shared" si="2"/>
        <v>28.678608000000001</v>
      </c>
      <c r="L126" s="6">
        <f t="shared" si="3"/>
        <v>41.424604708847795</v>
      </c>
      <c r="M126">
        <v>1</v>
      </c>
      <c r="N126" t="s">
        <v>135</v>
      </c>
      <c r="O126">
        <v>11</v>
      </c>
      <c r="P126" t="s">
        <v>232</v>
      </c>
      <c r="Q126" t="s">
        <v>233</v>
      </c>
      <c r="R126" t="s">
        <v>26</v>
      </c>
      <c r="S126" t="s">
        <v>375</v>
      </c>
      <c r="T126">
        <v>165</v>
      </c>
    </row>
    <row r="127" spans="1:20">
      <c r="A127" s="1" t="s">
        <v>290</v>
      </c>
      <c r="B127" t="s">
        <v>371</v>
      </c>
      <c r="C127" t="s">
        <v>172</v>
      </c>
      <c r="D127" s="2">
        <v>1185</v>
      </c>
      <c r="E127" t="s">
        <v>28</v>
      </c>
      <c r="F127" s="4">
        <v>110</v>
      </c>
      <c r="G127" s="4">
        <v>5</v>
      </c>
      <c r="H127" s="5">
        <v>26.4</v>
      </c>
      <c r="I127" s="6">
        <v>49.43</v>
      </c>
      <c r="J127" s="6">
        <v>57.99</v>
      </c>
      <c r="K127" s="6">
        <f t="shared" si="2"/>
        <v>28.664457000000002</v>
      </c>
      <c r="L127" s="6">
        <f t="shared" si="3"/>
        <v>41.340395877724106</v>
      </c>
      <c r="M127">
        <v>1</v>
      </c>
      <c r="N127" t="s">
        <v>146</v>
      </c>
      <c r="O127">
        <v>13</v>
      </c>
      <c r="P127" t="s">
        <v>232</v>
      </c>
      <c r="Q127" t="s">
        <v>233</v>
      </c>
      <c r="R127" t="s">
        <v>26</v>
      </c>
      <c r="S127" t="s">
        <v>375</v>
      </c>
      <c r="T127">
        <v>165</v>
      </c>
    </row>
  </sheetData>
  <sortState xmlns:xlrd2="http://schemas.microsoft.com/office/spreadsheetml/2017/richdata2" ref="A2:T127">
    <sortCondition ref="C2:C12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1DB2-B22C-F343-A529-234FA69A5A81}">
  <dimension ref="B2:G118"/>
  <sheetViews>
    <sheetView workbookViewId="0">
      <selection activeCell="U61" sqref="U61"/>
    </sheetView>
  </sheetViews>
  <sheetFormatPr baseColWidth="10" defaultRowHeight="15"/>
  <cols>
    <col min="2" max="2" width="12" bestFit="1" customWidth="1"/>
    <col min="3" max="3" width="18.1640625" bestFit="1" customWidth="1"/>
    <col min="4" max="5" width="5" bestFit="1" customWidth="1"/>
    <col min="6" max="9" width="6" bestFit="1" customWidth="1"/>
    <col min="10" max="10" width="17" bestFit="1" customWidth="1"/>
    <col min="11" max="11" width="12" bestFit="1" customWidth="1"/>
    <col min="12" max="13" width="6" bestFit="1" customWidth="1"/>
    <col min="14" max="14" width="14.6640625" bestFit="1" customWidth="1"/>
    <col min="15" max="15" width="14" bestFit="1" customWidth="1"/>
    <col min="16" max="17" width="6" bestFit="1" customWidth="1"/>
    <col min="18" max="18" width="17" bestFit="1" customWidth="1"/>
    <col min="19" max="19" width="6" bestFit="1" customWidth="1"/>
  </cols>
  <sheetData>
    <row r="2" spans="2:4">
      <c r="B2" s="7" t="s">
        <v>395</v>
      </c>
      <c r="C2" t="s">
        <v>378</v>
      </c>
    </row>
    <row r="4" spans="2:4">
      <c r="B4" s="7" t="s">
        <v>376</v>
      </c>
      <c r="C4" t="s">
        <v>404</v>
      </c>
      <c r="D4" t="s">
        <v>379</v>
      </c>
    </row>
    <row r="5" spans="2:4">
      <c r="B5" s="8" t="s">
        <v>371</v>
      </c>
      <c r="C5" s="5">
        <v>23</v>
      </c>
      <c r="D5" s="4">
        <v>25</v>
      </c>
    </row>
    <row r="6" spans="2:4">
      <c r="B6" s="8" t="s">
        <v>369</v>
      </c>
      <c r="C6" s="5">
        <v>17.990476190476194</v>
      </c>
      <c r="D6" s="4">
        <v>21</v>
      </c>
    </row>
    <row r="7" spans="2:4">
      <c r="B7" s="8" t="s">
        <v>367</v>
      </c>
      <c r="C7" s="5">
        <v>16.984848484848484</v>
      </c>
      <c r="D7" s="4">
        <v>33</v>
      </c>
    </row>
    <row r="8" spans="2:4">
      <c r="B8" s="8" t="s">
        <v>372</v>
      </c>
      <c r="C8" s="5">
        <v>16.841666666666661</v>
      </c>
      <c r="D8" s="4">
        <v>36</v>
      </c>
    </row>
    <row r="9" spans="2:4">
      <c r="B9" s="8" t="s">
        <v>377</v>
      </c>
      <c r="C9" s="5">
        <v>18.431304347826089</v>
      </c>
      <c r="D9" s="4">
        <v>115</v>
      </c>
    </row>
    <row r="25" spans="2:7">
      <c r="B25" s="7" t="s">
        <v>404</v>
      </c>
      <c r="C25" s="7" t="s">
        <v>380</v>
      </c>
    </row>
    <row r="26" spans="2:7">
      <c r="B26" s="7" t="s">
        <v>376</v>
      </c>
      <c r="C26" t="s">
        <v>369</v>
      </c>
      <c r="D26" t="s">
        <v>367</v>
      </c>
      <c r="E26" t="s">
        <v>372</v>
      </c>
      <c r="F26" t="s">
        <v>371</v>
      </c>
      <c r="G26" t="s">
        <v>377</v>
      </c>
    </row>
    <row r="27" spans="2:7">
      <c r="B27" s="8">
        <v>4</v>
      </c>
      <c r="C27" s="5">
        <v>17.064285714285713</v>
      </c>
      <c r="D27" s="5">
        <v>16.400000000000002</v>
      </c>
      <c r="E27" s="5">
        <v>18.066666666666666</v>
      </c>
      <c r="F27" s="5">
        <v>26.449999999999996</v>
      </c>
      <c r="G27" s="5">
        <v>18.959459459459456</v>
      </c>
    </row>
    <row r="28" spans="2:7">
      <c r="B28" s="8">
        <v>5</v>
      </c>
      <c r="C28" s="5">
        <v>21.15</v>
      </c>
      <c r="D28" s="5">
        <v>17.38421052631579</v>
      </c>
      <c r="E28" s="5">
        <v>16.804761904761911</v>
      </c>
      <c r="F28" s="5">
        <v>23.627272727272725</v>
      </c>
      <c r="G28" s="5">
        <v>18.685454545454544</v>
      </c>
    </row>
    <row r="29" spans="2:7">
      <c r="B29" s="8">
        <v>6</v>
      </c>
      <c r="C29" s="5">
        <v>18.099999999999998</v>
      </c>
      <c r="D29" s="5">
        <v>16.700000000000003</v>
      </c>
      <c r="E29" s="5">
        <v>16.600000000000001</v>
      </c>
      <c r="F29" s="5">
        <v>17.25</v>
      </c>
      <c r="G29" s="5">
        <v>16.973913043478262</v>
      </c>
    </row>
    <row r="30" spans="2:7">
      <c r="B30" s="8" t="s">
        <v>377</v>
      </c>
      <c r="C30" s="5">
        <v>17.990476190476194</v>
      </c>
      <c r="D30" s="5">
        <v>16.984848484848484</v>
      </c>
      <c r="E30" s="5">
        <v>16.841666666666669</v>
      </c>
      <c r="F30" s="5">
        <v>23</v>
      </c>
      <c r="G30" s="5">
        <v>18.431304347826085</v>
      </c>
    </row>
    <row r="60" spans="2:7">
      <c r="B60" s="7" t="s">
        <v>395</v>
      </c>
      <c r="C60" t="s">
        <v>378</v>
      </c>
    </row>
    <row r="62" spans="2:7">
      <c r="B62" s="7" t="s">
        <v>405</v>
      </c>
      <c r="C62" s="7" t="s">
        <v>380</v>
      </c>
    </row>
    <row r="63" spans="2:7">
      <c r="B63" s="7" t="s">
        <v>376</v>
      </c>
      <c r="C63" t="s">
        <v>369</v>
      </c>
      <c r="D63" t="s">
        <v>367</v>
      </c>
      <c r="E63" t="s">
        <v>372</v>
      </c>
      <c r="F63" t="s">
        <v>371</v>
      </c>
      <c r="G63" t="s">
        <v>377</v>
      </c>
    </row>
    <row r="64" spans="2:7">
      <c r="B64" s="8" t="s">
        <v>373</v>
      </c>
      <c r="C64" s="2">
        <v>795.9</v>
      </c>
      <c r="D64" s="2">
        <v>764.5</v>
      </c>
      <c r="E64" s="2">
        <v>745</v>
      </c>
      <c r="F64" s="2"/>
      <c r="G64" s="2">
        <v>770.22580645161293</v>
      </c>
    </row>
    <row r="65" spans="2:7">
      <c r="B65" s="8" t="s">
        <v>375</v>
      </c>
      <c r="C65" s="2">
        <v>824.42499999999995</v>
      </c>
      <c r="D65" s="2">
        <v>908.35</v>
      </c>
      <c r="E65" s="2">
        <v>988.69523809523798</v>
      </c>
      <c r="F65" s="2">
        <v>1062.8947368421052</v>
      </c>
      <c r="G65" s="2">
        <v>978.92500000000007</v>
      </c>
    </row>
    <row r="66" spans="2:7">
      <c r="B66" s="8" t="s">
        <v>374</v>
      </c>
      <c r="C66" s="2">
        <v>945.33333333333337</v>
      </c>
      <c r="D66" s="2">
        <v>1012.6363636363636</v>
      </c>
      <c r="E66" s="2">
        <v>894.375</v>
      </c>
      <c r="F66" s="2">
        <v>1095.5</v>
      </c>
      <c r="G66" s="2">
        <v>989.39285714285711</v>
      </c>
    </row>
    <row r="67" spans="2:7">
      <c r="B67" s="8" t="s">
        <v>377</v>
      </c>
      <c r="C67" s="2">
        <v>828.11428571428576</v>
      </c>
      <c r="D67" s="2">
        <v>882.08484848484841</v>
      </c>
      <c r="E67" s="2">
        <v>920.34999999999991</v>
      </c>
      <c r="F67" s="2">
        <v>1070.72</v>
      </c>
      <c r="G67" s="2">
        <v>925.2156521739131</v>
      </c>
    </row>
    <row r="85" spans="2:3">
      <c r="B85" s="7" t="s">
        <v>395</v>
      </c>
      <c r="C85" t="s">
        <v>378</v>
      </c>
    </row>
    <row r="87" spans="2:3">
      <c r="B87" s="7" t="s">
        <v>376</v>
      </c>
      <c r="C87" t="s">
        <v>406</v>
      </c>
    </row>
    <row r="88" spans="2:3">
      <c r="B88" s="8" t="s">
        <v>371</v>
      </c>
      <c r="C88" s="2">
        <v>141.3125</v>
      </c>
    </row>
    <row r="89" spans="2:3">
      <c r="B89" s="8" t="s">
        <v>367</v>
      </c>
      <c r="C89" s="2">
        <v>132.4</v>
      </c>
    </row>
    <row r="90" spans="2:3">
      <c r="B90" s="8" t="s">
        <v>372</v>
      </c>
      <c r="C90" s="2">
        <v>130.6</v>
      </c>
    </row>
    <row r="91" spans="2:3">
      <c r="B91" s="8" t="s">
        <v>369</v>
      </c>
      <c r="C91" s="2">
        <v>119</v>
      </c>
    </row>
    <row r="92" spans="2:3">
      <c r="B92" s="8" t="s">
        <v>377</v>
      </c>
      <c r="C92" s="2">
        <v>135.62068965517241</v>
      </c>
    </row>
    <row r="110" spans="2:3">
      <c r="B110" s="7" t="s">
        <v>395</v>
      </c>
      <c r="C110" t="s">
        <v>378</v>
      </c>
    </row>
    <row r="112" spans="2:3">
      <c r="B112" s="7" t="s">
        <v>379</v>
      </c>
      <c r="C112" s="7" t="s">
        <v>380</v>
      </c>
    </row>
    <row r="113" spans="2:6">
      <c r="B113" s="7" t="s">
        <v>376</v>
      </c>
      <c r="C113" t="s">
        <v>373</v>
      </c>
      <c r="D113" t="s">
        <v>375</v>
      </c>
      <c r="E113" t="s">
        <v>374</v>
      </c>
      <c r="F113" t="s">
        <v>377</v>
      </c>
    </row>
    <row r="114" spans="2:6">
      <c r="B114" s="8" t="s">
        <v>369</v>
      </c>
      <c r="C114" s="4">
        <v>10</v>
      </c>
      <c r="D114" s="4">
        <v>8</v>
      </c>
      <c r="E114" s="4">
        <v>3</v>
      </c>
      <c r="F114" s="4">
        <v>21</v>
      </c>
    </row>
    <row r="115" spans="2:6">
      <c r="B115" s="8" t="s">
        <v>367</v>
      </c>
      <c r="C115" s="4">
        <v>14</v>
      </c>
      <c r="D115" s="4">
        <v>8</v>
      </c>
      <c r="E115" s="4">
        <v>11</v>
      </c>
      <c r="F115" s="4">
        <v>33</v>
      </c>
    </row>
    <row r="116" spans="2:6">
      <c r="B116" s="8" t="s">
        <v>372</v>
      </c>
      <c r="C116" s="4">
        <v>7</v>
      </c>
      <c r="D116" s="4">
        <v>21</v>
      </c>
      <c r="E116" s="4">
        <v>8</v>
      </c>
      <c r="F116" s="4">
        <v>36</v>
      </c>
    </row>
    <row r="117" spans="2:6">
      <c r="B117" s="8" t="s">
        <v>371</v>
      </c>
      <c r="C117" s="4"/>
      <c r="D117" s="4">
        <v>19</v>
      </c>
      <c r="E117" s="4">
        <v>6</v>
      </c>
      <c r="F117" s="4">
        <v>25</v>
      </c>
    </row>
    <row r="118" spans="2:6">
      <c r="B118" s="8" t="s">
        <v>377</v>
      </c>
      <c r="C118" s="4">
        <v>31</v>
      </c>
      <c r="D118" s="4">
        <v>56</v>
      </c>
      <c r="E118" s="4">
        <v>28</v>
      </c>
      <c r="F118" s="4">
        <v>115</v>
      </c>
    </row>
  </sheetData>
  <phoneticPr fontId="1" type="noConversion"/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6B2E-20CD-A648-968C-5F3A883784CC}">
  <dimension ref="B2:F183"/>
  <sheetViews>
    <sheetView tabSelected="1" topLeftCell="A158" workbookViewId="0">
      <selection activeCell="D177" sqref="D177"/>
    </sheetView>
  </sheetViews>
  <sheetFormatPr baseColWidth="10" defaultRowHeight="15"/>
  <cols>
    <col min="2" max="2" width="10.83203125" bestFit="1" customWidth="1"/>
    <col min="3" max="3" width="10.33203125" bestFit="1" customWidth="1"/>
    <col min="4" max="4" width="25.1640625" bestFit="1" customWidth="1"/>
    <col min="5" max="5" width="18.1640625" bestFit="1" customWidth="1"/>
    <col min="6" max="7" width="6" bestFit="1" customWidth="1"/>
  </cols>
  <sheetData>
    <row r="2" spans="2:4">
      <c r="B2" s="7" t="s">
        <v>395</v>
      </c>
      <c r="C2" t="s">
        <v>378</v>
      </c>
    </row>
    <row r="4" spans="2:4">
      <c r="B4" s="7" t="s">
        <v>376</v>
      </c>
      <c r="C4" t="s">
        <v>409</v>
      </c>
      <c r="D4" t="s">
        <v>379</v>
      </c>
    </row>
    <row r="5" spans="2:4">
      <c r="B5" s="8" t="s">
        <v>371</v>
      </c>
      <c r="C5" s="5">
        <v>37.051725833345493</v>
      </c>
      <c r="D5" s="4">
        <v>25</v>
      </c>
    </row>
    <row r="6" spans="2:4">
      <c r="B6" s="8" t="s">
        <v>369</v>
      </c>
      <c r="C6" s="5">
        <v>30.761252365186767</v>
      </c>
      <c r="D6" s="4">
        <v>21</v>
      </c>
    </row>
    <row r="7" spans="2:4">
      <c r="B7" s="8" t="s">
        <v>367</v>
      </c>
      <c r="C7" s="5">
        <v>28.829681692371182</v>
      </c>
      <c r="D7" s="4">
        <v>33</v>
      </c>
    </row>
    <row r="8" spans="2:4">
      <c r="B8" s="8" t="s">
        <v>372</v>
      </c>
      <c r="C8" s="5">
        <v>28.032607010239172</v>
      </c>
      <c r="D8" s="4">
        <v>36</v>
      </c>
    </row>
    <row r="9" spans="2:4">
      <c r="B9" s="8" t="s">
        <v>377</v>
      </c>
      <c r="C9" s="5">
        <v>30.72028516277755</v>
      </c>
      <c r="D9" s="4">
        <v>115</v>
      </c>
    </row>
    <row r="41" spans="2:6">
      <c r="B41" s="7" t="s">
        <v>395</v>
      </c>
      <c r="C41" t="s">
        <v>378</v>
      </c>
    </row>
    <row r="43" spans="2:6">
      <c r="B43" s="7" t="s">
        <v>410</v>
      </c>
      <c r="C43" s="7" t="s">
        <v>380</v>
      </c>
    </row>
    <row r="44" spans="2:6">
      <c r="B44" s="7" t="s">
        <v>376</v>
      </c>
      <c r="C44" t="s">
        <v>373</v>
      </c>
      <c r="D44" t="s">
        <v>375</v>
      </c>
      <c r="E44" t="s">
        <v>374</v>
      </c>
      <c r="F44" t="s">
        <v>377</v>
      </c>
    </row>
    <row r="45" spans="2:6">
      <c r="B45" s="8" t="s">
        <v>369</v>
      </c>
      <c r="C45" s="5">
        <v>24.904611300000003</v>
      </c>
      <c r="D45" s="5">
        <v>27.391068749999995</v>
      </c>
      <c r="E45" s="5">
        <v>38.015467000000001</v>
      </c>
      <c r="F45" s="5">
        <v>27.724812571428576</v>
      </c>
    </row>
    <row r="46" spans="2:6">
      <c r="B46" s="8" t="s">
        <v>367</v>
      </c>
      <c r="C46" s="5">
        <v>26.471243928571432</v>
      </c>
      <c r="D46" s="5">
        <v>32.090598125</v>
      </c>
      <c r="E46" s="5">
        <v>36.128837636363635</v>
      </c>
      <c r="F46" s="5">
        <v>31.052709515151527</v>
      </c>
    </row>
    <row r="47" spans="2:6">
      <c r="B47" s="8" t="s">
        <v>372</v>
      </c>
      <c r="C47" s="5">
        <v>25.063347428571429</v>
      </c>
      <c r="D47" s="5">
        <v>34.544738333333335</v>
      </c>
      <c r="E47" s="5">
        <v>38.138486499999999</v>
      </c>
      <c r="F47" s="5">
        <v>33.499745250000018</v>
      </c>
    </row>
    <row r="48" spans="2:6">
      <c r="B48" s="8" t="s">
        <v>371</v>
      </c>
      <c r="C48" s="5"/>
      <c r="D48" s="5">
        <v>27.629138789473689</v>
      </c>
      <c r="E48" s="5">
        <v>36.915596499999992</v>
      </c>
      <c r="F48" s="5">
        <v>29.857888640000002</v>
      </c>
    </row>
    <row r="49" spans="2:6">
      <c r="B49" s="8" t="s">
        <v>377</v>
      </c>
      <c r="C49" s="5">
        <v>25.647966451612898</v>
      </c>
      <c r="D49" s="5">
        <v>30.82582994642857</v>
      </c>
      <c r="E49" s="5">
        <v>37.073753071428577</v>
      </c>
      <c r="F49" s="5">
        <v>30.951291504347836</v>
      </c>
    </row>
    <row r="76" spans="2:3">
      <c r="B76" s="7" t="s">
        <v>376</v>
      </c>
      <c r="C76" t="s">
        <v>411</v>
      </c>
    </row>
    <row r="77" spans="2:3">
      <c r="B77" s="8">
        <v>85</v>
      </c>
      <c r="C77" s="4">
        <v>1</v>
      </c>
    </row>
    <row r="78" spans="2:3">
      <c r="B78" s="8">
        <v>87</v>
      </c>
      <c r="C78" s="4">
        <v>2</v>
      </c>
    </row>
    <row r="79" spans="2:3">
      <c r="B79" s="8">
        <v>90</v>
      </c>
      <c r="C79" s="4">
        <v>4</v>
      </c>
    </row>
    <row r="80" spans="2:3">
      <c r="B80" s="8">
        <v>95</v>
      </c>
      <c r="C80" s="4">
        <v>1</v>
      </c>
    </row>
    <row r="81" spans="2:3">
      <c r="B81" s="8">
        <v>100</v>
      </c>
      <c r="C81" s="4">
        <v>2</v>
      </c>
    </row>
    <row r="82" spans="2:3">
      <c r="B82" s="8">
        <v>103</v>
      </c>
      <c r="C82" s="4">
        <v>1</v>
      </c>
    </row>
    <row r="83" spans="2:3">
      <c r="B83" s="8">
        <v>105</v>
      </c>
      <c r="C83" s="4">
        <v>2</v>
      </c>
    </row>
    <row r="84" spans="2:3">
      <c r="B84" s="8">
        <v>110</v>
      </c>
      <c r="C84" s="4">
        <v>6</v>
      </c>
    </row>
    <row r="85" spans="2:3">
      <c r="B85" s="8">
        <v>120</v>
      </c>
      <c r="C85" s="4">
        <v>1</v>
      </c>
    </row>
    <row r="86" spans="2:3">
      <c r="B86" s="8">
        <v>150</v>
      </c>
      <c r="C86" s="4">
        <v>7</v>
      </c>
    </row>
    <row r="87" spans="2:3">
      <c r="B87" s="8">
        <v>160</v>
      </c>
      <c r="C87" s="4">
        <v>7</v>
      </c>
    </row>
    <row r="88" spans="2:3">
      <c r="B88" s="8">
        <v>165</v>
      </c>
      <c r="C88" s="4">
        <v>3</v>
      </c>
    </row>
    <row r="89" spans="2:3">
      <c r="B89" s="8">
        <v>175</v>
      </c>
      <c r="C89" s="4">
        <v>1</v>
      </c>
    </row>
    <row r="90" spans="2:3">
      <c r="B90" s="8">
        <v>226</v>
      </c>
      <c r="C90" s="4">
        <v>1</v>
      </c>
    </row>
    <row r="91" spans="2:3">
      <c r="B91" s="8">
        <v>265</v>
      </c>
      <c r="C91" s="4">
        <v>1</v>
      </c>
    </row>
    <row r="92" spans="2:3">
      <c r="B92" s="8" t="s">
        <v>377</v>
      </c>
      <c r="C92" s="4">
        <v>40</v>
      </c>
    </row>
    <row r="101" spans="2:3">
      <c r="B101" t="s">
        <v>412</v>
      </c>
      <c r="C101" t="s">
        <v>413</v>
      </c>
    </row>
    <row r="102" spans="2:3">
      <c r="B102" s="8">
        <v>85</v>
      </c>
      <c r="C102" s="4">
        <v>1</v>
      </c>
    </row>
    <row r="103" spans="2:3">
      <c r="B103" s="8">
        <v>87</v>
      </c>
      <c r="C103" s="4">
        <v>2</v>
      </c>
    </row>
    <row r="104" spans="2:3">
      <c r="B104" s="8">
        <v>90</v>
      </c>
      <c r="C104" s="4">
        <v>4</v>
      </c>
    </row>
    <row r="105" spans="2:3">
      <c r="B105" s="8">
        <v>95</v>
      </c>
      <c r="C105" s="4">
        <v>1</v>
      </c>
    </row>
    <row r="106" spans="2:3">
      <c r="B106" s="8">
        <v>100</v>
      </c>
      <c r="C106" s="4">
        <v>2</v>
      </c>
    </row>
    <row r="107" spans="2:3">
      <c r="B107" s="8">
        <v>103</v>
      </c>
      <c r="C107" s="4">
        <v>1</v>
      </c>
    </row>
    <row r="108" spans="2:3">
      <c r="B108" s="8">
        <v>105</v>
      </c>
      <c r="C108" s="4">
        <v>2</v>
      </c>
    </row>
    <row r="109" spans="2:3">
      <c r="B109" s="8">
        <v>110</v>
      </c>
      <c r="C109" s="4">
        <v>6</v>
      </c>
    </row>
    <row r="110" spans="2:3">
      <c r="B110" s="8">
        <v>120</v>
      </c>
      <c r="C110" s="4">
        <v>1</v>
      </c>
    </row>
    <row r="111" spans="2:3">
      <c r="B111" s="8">
        <v>150</v>
      </c>
      <c r="C111" s="4">
        <v>7</v>
      </c>
    </row>
    <row r="112" spans="2:3">
      <c r="B112" s="8">
        <v>160</v>
      </c>
      <c r="C112" s="4">
        <v>7</v>
      </c>
    </row>
    <row r="113" spans="2:3">
      <c r="B113" s="8">
        <v>165</v>
      </c>
      <c r="C113" s="4">
        <v>3</v>
      </c>
    </row>
    <row r="114" spans="2:3">
      <c r="B114" s="8">
        <v>175</v>
      </c>
      <c r="C114" s="4">
        <v>1</v>
      </c>
    </row>
    <row r="115" spans="2:3">
      <c r="B115" s="8">
        <v>226</v>
      </c>
      <c r="C115" s="4">
        <v>1</v>
      </c>
    </row>
    <row r="116" spans="2:3">
      <c r="B116" s="8">
        <v>265</v>
      </c>
      <c r="C116" s="4">
        <v>1</v>
      </c>
    </row>
    <row r="126" spans="2:3">
      <c r="B126" t="s">
        <v>418</v>
      </c>
      <c r="C126">
        <v>3</v>
      </c>
    </row>
    <row r="127" spans="2:3">
      <c r="B127" t="s">
        <v>414</v>
      </c>
      <c r="C127">
        <v>5</v>
      </c>
    </row>
    <row r="128" spans="2:3">
      <c r="B128" t="s">
        <v>415</v>
      </c>
      <c r="C128">
        <v>5</v>
      </c>
    </row>
    <row r="129" spans="2:3">
      <c r="B129" t="s">
        <v>416</v>
      </c>
      <c r="C129">
        <v>6</v>
      </c>
    </row>
    <row r="130" spans="2:3">
      <c r="B130" t="s">
        <v>417</v>
      </c>
      <c r="C130">
        <v>1</v>
      </c>
    </row>
    <row r="131" spans="2:3">
      <c r="B131" t="s">
        <v>419</v>
      </c>
      <c r="C131">
        <v>7</v>
      </c>
    </row>
    <row r="132" spans="2:3">
      <c r="B132" t="s">
        <v>420</v>
      </c>
      <c r="C132">
        <v>10</v>
      </c>
    </row>
    <row r="133" spans="2:3">
      <c r="B133" t="s">
        <v>421</v>
      </c>
      <c r="C133">
        <v>1</v>
      </c>
    </row>
    <row r="134" spans="2:3">
      <c r="B134" t="s">
        <v>422</v>
      </c>
      <c r="C134">
        <v>2</v>
      </c>
    </row>
    <row r="146" spans="2:5">
      <c r="B146" s="7" t="s">
        <v>376</v>
      </c>
      <c r="C146" t="s">
        <v>423</v>
      </c>
      <c r="D146" t="s">
        <v>424</v>
      </c>
      <c r="E146" t="s">
        <v>410</v>
      </c>
    </row>
    <row r="147" spans="2:5">
      <c r="B147" s="8" t="s">
        <v>373</v>
      </c>
      <c r="C147" s="5">
        <v>42.177419354838726</v>
      </c>
      <c r="D147" s="3">
        <v>60.891612903225784</v>
      </c>
      <c r="E147" s="5">
        <v>25.647966451612902</v>
      </c>
    </row>
    <row r="148" spans="2:5">
      <c r="B148" s="8" t="s">
        <v>375</v>
      </c>
      <c r="C148" s="5">
        <v>51.991846153846154</v>
      </c>
      <c r="D148" s="3">
        <v>58.274307692307701</v>
      </c>
      <c r="E148" s="5">
        <v>30.18705198461539</v>
      </c>
    </row>
    <row r="149" spans="2:5">
      <c r="B149" s="8" t="s">
        <v>374</v>
      </c>
      <c r="C149" s="5">
        <v>60.582999999999998</v>
      </c>
      <c r="D149" s="3">
        <v>60.624666666666677</v>
      </c>
      <c r="E149" s="5">
        <v>36.64857966666667</v>
      </c>
    </row>
    <row r="150" spans="2:5">
      <c r="B150" s="8" t="s">
        <v>377</v>
      </c>
      <c r="C150" s="5">
        <v>51.622698412698398</v>
      </c>
      <c r="D150" s="3">
        <v>59.477857142857133</v>
      </c>
      <c r="E150" s="5">
        <v>30.608751817460305</v>
      </c>
    </row>
    <row r="173" spans="2:3">
      <c r="B173" s="7" t="s">
        <v>376</v>
      </c>
      <c r="C173" t="s">
        <v>379</v>
      </c>
    </row>
    <row r="174" spans="2:3">
      <c r="B174" s="8" t="s">
        <v>45</v>
      </c>
      <c r="C174" s="4">
        <v>8</v>
      </c>
    </row>
    <row r="175" spans="2:3">
      <c r="B175" s="8" t="s">
        <v>22</v>
      </c>
      <c r="C175" s="4">
        <v>22</v>
      </c>
    </row>
    <row r="176" spans="2:3">
      <c r="B176" s="8" t="s">
        <v>61</v>
      </c>
      <c r="C176" s="4">
        <v>1</v>
      </c>
    </row>
    <row r="177" spans="2:3">
      <c r="B177" s="8" t="s">
        <v>204</v>
      </c>
      <c r="C177" s="4">
        <v>1</v>
      </c>
    </row>
    <row r="178" spans="2:3">
      <c r="B178" s="8" t="s">
        <v>115</v>
      </c>
      <c r="C178" s="4">
        <v>2</v>
      </c>
    </row>
    <row r="179" spans="2:3">
      <c r="B179" s="8" t="s">
        <v>86</v>
      </c>
      <c r="C179" s="4">
        <v>3</v>
      </c>
    </row>
    <row r="180" spans="2:3">
      <c r="B180" s="8" t="s">
        <v>26</v>
      </c>
      <c r="C180" s="4">
        <v>59</v>
      </c>
    </row>
    <row r="181" spans="2:3">
      <c r="B181" s="8" t="s">
        <v>67</v>
      </c>
      <c r="C181" s="4">
        <v>3</v>
      </c>
    </row>
    <row r="182" spans="2:3">
      <c r="B182" s="8" t="s">
        <v>32</v>
      </c>
      <c r="C182" s="4">
        <v>27</v>
      </c>
    </row>
    <row r="183" spans="2:3">
      <c r="B183" s="8" t="s">
        <v>377</v>
      </c>
      <c r="C183" s="4">
        <v>126</v>
      </c>
    </row>
  </sheetData>
  <phoneticPr fontId="1" type="noConversion"/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5507-663A-B44F-9BA2-F5BF1FCACD2D}">
  <dimension ref="C2"/>
  <sheetViews>
    <sheetView workbookViewId="0">
      <selection activeCell="C2" sqref="C2"/>
    </sheetView>
  </sheetViews>
  <sheetFormatPr baseColWidth="10" defaultRowHeight="19"/>
  <cols>
    <col min="1" max="16384" width="10.83203125" style="9"/>
  </cols>
  <sheetData>
    <row r="2" spans="3:3">
      <c r="C2" s="9" t="s">
        <v>390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實價登錄</vt:lpstr>
      <vt:lpstr>Data</vt:lpstr>
      <vt:lpstr>分析</vt:lpstr>
      <vt:lpstr>分析-2</vt:lpstr>
      <vt:lpstr>Facebook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2021-08-03T04:08:10Z</dcterms:created>
  <dcterms:modified xsi:type="dcterms:W3CDTF">2021-08-03T23:49:05Z</dcterms:modified>
</cp:coreProperties>
</file>