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db/"/>
    </mc:Choice>
  </mc:AlternateContent>
  <xr:revisionPtr revIDLastSave="0" documentId="13_ncr:1_{258B8B8D-10BC-D94F-805F-3F6320C2009C}" xr6:coauthVersionLast="47" xr6:coauthVersionMax="47" xr10:uidLastSave="{00000000-0000-0000-0000-000000000000}"/>
  <bookViews>
    <workbookView xWindow="-34580" yWindow="1900" windowWidth="29760" windowHeight="13240" activeTab="1" xr2:uid="{D2AF3218-DF3A-914D-93E0-8410F12C8571}"/>
  </bookViews>
  <sheets>
    <sheet name="區域分析-01" sheetId="1" r:id="rId1"/>
    <sheet name="區域分析-02" sheetId="2" r:id="rId2"/>
  </sheets>
  <calcPr calcId="181029"/>
  <pivotCaches>
    <pivotCache cacheId="7" r:id="rId3"/>
    <pivotCache cacheId="1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<sst xmlns="http://schemas.openxmlformats.org/spreadsheetml/2006/main" count="367" uniqueCount="60">
  <si>
    <t xml:space="preserve">內政部 2021 預售屋 住宅 實價登錄資料 </t>
    <phoneticPr fontId="1" type="noConversion"/>
  </si>
  <si>
    <t>不包含一樓＆店面＆透天</t>
    <phoneticPr fontId="1" type="noConversion"/>
  </si>
  <si>
    <t>地區</t>
    <phoneticPr fontId="1" type="noConversion"/>
  </si>
  <si>
    <t>年份</t>
    <phoneticPr fontId="1" type="noConversion"/>
  </si>
  <si>
    <t>季度</t>
    <phoneticPr fontId="1" type="noConversion"/>
  </si>
  <si>
    <t>類別</t>
  </si>
  <si>
    <t>類別</t>
    <phoneticPr fontId="1" type="noConversion"/>
  </si>
  <si>
    <t>數字</t>
    <phoneticPr fontId="1" type="noConversion"/>
  </si>
  <si>
    <t>第一季</t>
  </si>
  <si>
    <t>第一季</t>
    <phoneticPr fontId="1" type="noConversion"/>
  </si>
  <si>
    <t>成交筆數</t>
  </si>
  <si>
    <t>成交筆數</t>
    <phoneticPr fontId="1" type="noConversion"/>
  </si>
  <si>
    <t>平均總價</t>
  </si>
  <si>
    <t>平均總價</t>
    <phoneticPr fontId="1" type="noConversion"/>
  </si>
  <si>
    <t>單位</t>
    <phoneticPr fontId="1" type="noConversion"/>
  </si>
  <si>
    <t>筆</t>
    <phoneticPr fontId="1" type="noConversion"/>
  </si>
  <si>
    <t>萬元</t>
    <phoneticPr fontId="1" type="noConversion"/>
  </si>
  <si>
    <t>平均單價</t>
  </si>
  <si>
    <t>平均單價</t>
    <phoneticPr fontId="1" type="noConversion"/>
  </si>
  <si>
    <t>A7 龜山</t>
  </si>
  <si>
    <t>A7 龜山</t>
    <phoneticPr fontId="1" type="noConversion"/>
  </si>
  <si>
    <t>A5 泰山</t>
  </si>
  <si>
    <t>A5 泰山</t>
    <phoneticPr fontId="1" type="noConversion"/>
  </si>
  <si>
    <t>A9 林口</t>
  </si>
  <si>
    <t>A9 林口</t>
    <phoneticPr fontId="1" type="noConversion"/>
  </si>
  <si>
    <t>第二季</t>
  </si>
  <si>
    <t>第二季</t>
    <phoneticPr fontId="1" type="noConversion"/>
  </si>
  <si>
    <t>第三季</t>
  </si>
  <si>
    <t>第三季</t>
    <phoneticPr fontId="1" type="noConversion"/>
  </si>
  <si>
    <t>第四季</t>
  </si>
  <si>
    <t>第四季</t>
    <phoneticPr fontId="1" type="noConversion"/>
  </si>
  <si>
    <t>網頁</t>
    <phoneticPr fontId="1" type="noConversion"/>
  </si>
  <si>
    <t>https://www.facebook.com/groups/1951117865015671/permalink/4553449454782486/</t>
  </si>
  <si>
    <t>作者</t>
    <phoneticPr fontId="1" type="noConversion"/>
  </si>
  <si>
    <t>日期</t>
    <phoneticPr fontId="1" type="noConversion"/>
  </si>
  <si>
    <t>李世豪</t>
    <phoneticPr fontId="1" type="noConversion"/>
  </si>
  <si>
    <t>2021 預售屋住宅 A7 和A5與林口的單價比較</t>
    <phoneticPr fontId="1" type="noConversion"/>
  </si>
  <si>
    <t>標題</t>
    <phoneticPr fontId="1" type="noConversion"/>
  </si>
  <si>
    <t>列標籤</t>
  </si>
  <si>
    <t>總計</t>
  </si>
  <si>
    <t>欄標籤</t>
  </si>
  <si>
    <t>加總 - 數字</t>
  </si>
  <si>
    <t>平均值 - 數字</t>
  </si>
  <si>
    <t>2021 A7 預售屋 實價登錄 房型比例
不包含一樓店面, 包含一般事務所</t>
    <phoneticPr fontId="1" type="noConversion"/>
  </si>
  <si>
    <t>https://www.facebook.com/groups/1951117865015671/permalink/4541162529344512/</t>
  </si>
  <si>
    <t>房型</t>
    <phoneticPr fontId="1" type="noConversion"/>
  </si>
  <si>
    <t>成交數</t>
  </si>
  <si>
    <t>成交數</t>
    <phoneticPr fontId="1" type="noConversion"/>
  </si>
  <si>
    <t>戶數</t>
    <phoneticPr fontId="1" type="noConversion"/>
  </si>
  <si>
    <t>2房</t>
  </si>
  <si>
    <t>2房</t>
    <phoneticPr fontId="1" type="noConversion"/>
  </si>
  <si>
    <t>3房</t>
  </si>
  <si>
    <t>3房</t>
    <phoneticPr fontId="1" type="noConversion"/>
  </si>
  <si>
    <t>4房</t>
  </si>
  <si>
    <t>4房</t>
    <phoneticPr fontId="1" type="noConversion"/>
  </si>
  <si>
    <t>其他</t>
  </si>
  <si>
    <t>其他</t>
    <phoneticPr fontId="1" type="noConversion"/>
  </si>
  <si>
    <t>比例</t>
    <phoneticPr fontId="1" type="noConversion"/>
  </si>
  <si>
    <t>%</t>
    <phoneticPr fontId="1" type="noConversion"/>
  </si>
  <si>
    <t>第四季只有 10-11兩個月資料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</si>
</sst>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_ "/>
    <numFmt numFmtId="181" formatCode="#,##0_ "/>
  </numFmts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10" fontId="0" fillId="0" borderId="0" xfId="0" applyNumberFormat="1">
      <alignment vertical="center"/>
    </xf>
    <xf numFmtId="38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</a:t>
            </a:r>
            <a:r>
              <a:rPr lang="zh-TW" sz="1800"/>
              <a:t>區域房市比較</a:t>
            </a:r>
            <a:r>
              <a:rPr lang="en-US" sz="1800"/>
              <a:t> - </a:t>
            </a:r>
            <a:r>
              <a:rPr lang="zh-TW" sz="1800"/>
              <a:t>成交量</a:t>
            </a:r>
            <a:endParaRPr lang="en-US" altLang="zh-TW" sz="1800"/>
          </a:p>
          <a:p>
            <a:pPr>
              <a:defRPr sz="1800"/>
            </a:pPr>
            <a:r>
              <a:rPr lang="zh-TW" altLang="en-US" sz="1200"/>
              <a:t>不含一樓，店舖，透天</a:t>
            </a:r>
            <a:endParaRPr lang="zh-TW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'區域分析-01'!$K$10:$K$11</c:f>
              <c:strCache>
                <c:ptCount val="1"/>
                <c:pt idx="0">
                  <c:v>第一季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'區域分析-01'!$K$12:$K$15</c:f>
              <c:numCache>
                <c:formatCode>General</c:formatCode>
                <c:ptCount val="3"/>
                <c:pt idx="0">
                  <c:v>64</c:v>
                </c:pt>
                <c:pt idx="1">
                  <c:v>857</c:v>
                </c:pt>
                <c:pt idx="2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A-AE49-96C1-2A561C5BA344}"/>
            </c:ext>
          </c:extLst>
        </c:ser>
        <c:ser>
          <c:idx val="1"/>
          <c:order val="1"/>
          <c:tx>
            <c:strRef>
              <c:f>'區域分析-01'!$L$10:$L$11</c:f>
              <c:strCache>
                <c:ptCount val="1"/>
                <c:pt idx="0">
                  <c:v>第二季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'區域分析-01'!$L$12:$L$15</c:f>
              <c:numCache>
                <c:formatCode>General</c:formatCode>
                <c:ptCount val="3"/>
                <c:pt idx="0">
                  <c:v>73</c:v>
                </c:pt>
                <c:pt idx="1">
                  <c:v>911</c:v>
                </c:pt>
                <c:pt idx="2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AA-AE49-96C1-2A561C5BA344}"/>
            </c:ext>
          </c:extLst>
        </c:ser>
        <c:ser>
          <c:idx val="2"/>
          <c:order val="2"/>
          <c:tx>
            <c:strRef>
              <c:f>'區域分析-01'!$M$10:$M$11</c:f>
              <c:strCache>
                <c:ptCount val="1"/>
                <c:pt idx="0">
                  <c:v>第三季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'區域分析-01'!$M$12:$M$15</c:f>
              <c:numCache>
                <c:formatCode>General</c:formatCode>
                <c:ptCount val="3"/>
                <c:pt idx="0">
                  <c:v>51</c:v>
                </c:pt>
                <c:pt idx="1">
                  <c:v>1064</c:v>
                </c:pt>
                <c:pt idx="2">
                  <c:v>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AA-AE49-96C1-2A561C5BA344}"/>
            </c:ext>
          </c:extLst>
        </c:ser>
        <c:ser>
          <c:idx val="3"/>
          <c:order val="3"/>
          <c:tx>
            <c:strRef>
              <c:f>'區域分析-01'!$N$10:$N$11</c:f>
              <c:strCache>
                <c:ptCount val="1"/>
                <c:pt idx="0">
                  <c:v>第四季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'區域分析-01'!$J$12:$J$15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'區域分析-01'!$N$12:$N$15</c:f>
              <c:numCache>
                <c:formatCode>General</c:formatCode>
                <c:ptCount val="3"/>
                <c:pt idx="0">
                  <c:v>122</c:v>
                </c:pt>
                <c:pt idx="1">
                  <c:v>1174</c:v>
                </c:pt>
                <c:pt idx="2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AA-AE49-96C1-2A561C5BA34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8209535"/>
        <c:axId val="433264128"/>
      </c:barChart>
      <c:catAx>
        <c:axId val="27820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33264128"/>
        <c:crosses val="autoZero"/>
        <c:auto val="1"/>
        <c:lblAlgn val="ctr"/>
        <c:lblOffset val="100"/>
        <c:noMultiLvlLbl val="0"/>
      </c:catAx>
      <c:valAx>
        <c:axId val="433264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altLang="en-US" sz="1200"/>
                  <a:t>成交量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27820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</a:t>
            </a:r>
            <a:r>
              <a:rPr lang="zh-TW" sz="1800"/>
              <a:t>區域房市比較</a:t>
            </a:r>
            <a:r>
              <a:rPr lang="en-US" sz="1800"/>
              <a:t> - 平均單價 (萬元</a:t>
            </a:r>
            <a:r>
              <a:rPr lang="en-US" altLang="zh-TW" sz="1800"/>
              <a:t>/</a:t>
            </a:r>
            <a:r>
              <a:rPr lang="zh-TW" altLang="en-US" sz="1800"/>
              <a:t>坪</a:t>
            </a:r>
            <a:r>
              <a:rPr lang="en-US" altLang="zh-TW" sz="1800"/>
              <a:t>)</a:t>
            </a:r>
            <a:endParaRPr lang="zh-TW" sz="1800"/>
          </a:p>
          <a:p>
            <a:pPr>
              <a:defRPr sz="1800"/>
            </a:pPr>
            <a:r>
              <a:rPr lang="zh-TW" sz="1800"/>
              <a:t>不含一樓，店舖，透天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'區域分析-01'!$J$49:$J$50</c:f>
              <c:strCache>
                <c:ptCount val="1"/>
                <c:pt idx="0">
                  <c:v>A5 泰山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'區域分析-01'!$I$51:$I$55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'區域分析-01'!$J$51:$J$55</c:f>
              <c:numCache>
                <c:formatCode>General</c:formatCode>
                <c:ptCount val="4"/>
                <c:pt idx="0">
                  <c:v>39.4</c:v>
                </c:pt>
                <c:pt idx="1">
                  <c:v>40.1</c:v>
                </c:pt>
                <c:pt idx="2">
                  <c:v>41.2</c:v>
                </c:pt>
                <c:pt idx="3">
                  <c:v>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35-3B4A-9879-F96D0656244C}"/>
            </c:ext>
          </c:extLst>
        </c:ser>
        <c:ser>
          <c:idx val="1"/>
          <c:order val="1"/>
          <c:tx>
            <c:strRef>
              <c:f>'區域分析-01'!$K$49:$K$50</c:f>
              <c:strCache>
                <c:ptCount val="1"/>
                <c:pt idx="0">
                  <c:v>A7 龜山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'區域分析-01'!$I$51:$I$55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'區域分析-01'!$K$51:$K$55</c:f>
              <c:numCache>
                <c:formatCode>General</c:formatCode>
                <c:ptCount val="4"/>
                <c:pt idx="0">
                  <c:v>27.1</c:v>
                </c:pt>
                <c:pt idx="1">
                  <c:v>26.7</c:v>
                </c:pt>
                <c:pt idx="2">
                  <c:v>27.8</c:v>
                </c:pt>
                <c:pt idx="3">
                  <c:v>29.1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C35-3B4A-9879-F96D0656244C}"/>
            </c:ext>
          </c:extLst>
        </c:ser>
        <c:ser>
          <c:idx val="2"/>
          <c:order val="2"/>
          <c:tx>
            <c:strRef>
              <c:f>'區域分析-01'!$L$49:$L$50</c:f>
              <c:strCache>
                <c:ptCount val="1"/>
                <c:pt idx="0">
                  <c:v>A9 林口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'區域分析-01'!$I$51:$I$55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'區域分析-01'!$L$51:$L$55</c:f>
              <c:numCache>
                <c:formatCode>General</c:formatCode>
                <c:ptCount val="4"/>
                <c:pt idx="0">
                  <c:v>35.299999999999997</c:v>
                </c:pt>
                <c:pt idx="1">
                  <c:v>36</c:v>
                </c:pt>
                <c:pt idx="2">
                  <c:v>38</c:v>
                </c:pt>
                <c:pt idx="3">
                  <c:v>38.9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C35-3B4A-9879-F96D0656244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02168704"/>
        <c:axId val="402170352"/>
      </c:lineChart>
      <c:catAx>
        <c:axId val="40216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170352"/>
        <c:crosses val="autoZero"/>
        <c:auto val="1"/>
        <c:lblAlgn val="ctr"/>
        <c:lblOffset val="100"/>
        <c:noMultiLvlLbl val="0"/>
      </c:catAx>
      <c:valAx>
        <c:axId val="402170352"/>
        <c:scaling>
          <c:orientation val="minMax"/>
          <c:min val="2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altLang="en-US" sz="1200"/>
                  <a:t>平均單價 萬元</a:t>
                </a:r>
                <a:r>
                  <a:rPr lang="en-US" altLang="zh-TW" sz="1200"/>
                  <a:t>/</a:t>
                </a:r>
                <a:r>
                  <a:rPr lang="zh-TW" altLang="en-US" sz="1200"/>
                  <a:t>坪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16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[A7XLK-1105-MarketAnalysis.xlsx]區域分析-01!樞紐分析表3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/>
              <a:t>2021 </a:t>
            </a:r>
            <a:r>
              <a:rPr lang="zh-TW"/>
              <a:t>區域房市比較</a:t>
            </a:r>
            <a:r>
              <a:rPr lang="en-US"/>
              <a:t> - 平均總價 </a:t>
            </a:r>
            <a:endParaRPr lang="zh-TW"/>
          </a:p>
          <a:p>
            <a:pPr>
              <a:defRPr/>
            </a:pPr>
            <a:r>
              <a:rPr lang="zh-TW" sz="1200"/>
              <a:t>不含一樓，店舖，透天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'區域分析-01'!$I$83:$I$84</c:f>
              <c:strCache>
                <c:ptCount val="1"/>
                <c:pt idx="0">
                  <c:v>第一季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'區域分析-01'!$I$85:$I$88</c:f>
              <c:numCache>
                <c:formatCode>#,##0_ </c:formatCode>
                <c:ptCount val="3"/>
                <c:pt idx="0">
                  <c:v>1328</c:v>
                </c:pt>
                <c:pt idx="1">
                  <c:v>965</c:v>
                </c:pt>
                <c:pt idx="2">
                  <c:v>1359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F1-6A4A-9979-40784746285C}"/>
            </c:ext>
          </c:extLst>
        </c:ser>
        <c:ser>
          <c:idx val="1"/>
          <c:order val="1"/>
          <c:tx>
            <c:strRef>
              <c:f>'區域分析-01'!$J$83:$J$84</c:f>
              <c:strCache>
                <c:ptCount val="1"/>
                <c:pt idx="0">
                  <c:v>第二季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'區域分析-01'!$J$85:$J$88</c:f>
              <c:numCache>
                <c:formatCode>#,##0_ </c:formatCode>
                <c:ptCount val="3"/>
                <c:pt idx="0">
                  <c:v>1360</c:v>
                </c:pt>
                <c:pt idx="1">
                  <c:v>1008</c:v>
                </c:pt>
                <c:pt idx="2">
                  <c:v>1275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F1-6A4A-9979-40784746285C}"/>
            </c:ext>
          </c:extLst>
        </c:ser>
        <c:ser>
          <c:idx val="2"/>
          <c:order val="2"/>
          <c:tx>
            <c:strRef>
              <c:f>'區域分析-01'!$K$83:$K$84</c:f>
              <c:strCache>
                <c:ptCount val="1"/>
                <c:pt idx="0">
                  <c:v>第三季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'區域分析-01'!$K$85:$K$88</c:f>
              <c:numCache>
                <c:formatCode>#,##0_ </c:formatCode>
                <c:ptCount val="3"/>
                <c:pt idx="0">
                  <c:v>1382</c:v>
                </c:pt>
                <c:pt idx="1">
                  <c:v>1053</c:v>
                </c:pt>
                <c:pt idx="2">
                  <c:v>1425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F1-6A4A-9979-40784746285C}"/>
            </c:ext>
          </c:extLst>
        </c:ser>
        <c:ser>
          <c:idx val="3"/>
          <c:order val="3"/>
          <c:tx>
            <c:strRef>
              <c:f>'區域分析-01'!$L$83:$L$84</c:f>
              <c:strCache>
                <c:ptCount val="1"/>
                <c:pt idx="0">
                  <c:v>第四季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'區域分析-01'!$H$85:$H$88</c:f>
              <c:strCache>
                <c:ptCount val="3"/>
                <c:pt idx="0">
                  <c:v>A5 泰山</c:v>
                </c:pt>
                <c:pt idx="1">
                  <c:v>A7 龜山</c:v>
                </c:pt>
                <c:pt idx="2">
                  <c:v>A9 林口</c:v>
                </c:pt>
              </c:strCache>
            </c:strRef>
          </c:cat>
          <c:val>
            <c:numRef>
              <c:f>'區域分析-01'!$L$85:$L$88</c:f>
              <c:numCache>
                <c:formatCode>#,##0_ </c:formatCode>
                <c:ptCount val="3"/>
                <c:pt idx="0">
                  <c:v>1469</c:v>
                </c:pt>
                <c:pt idx="1">
                  <c:v>1048</c:v>
                </c:pt>
                <c:pt idx="2">
                  <c:v>1422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F1-6A4A-9979-40784746285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401574160"/>
        <c:axId val="401575808"/>
      </c:barChart>
      <c:catAx>
        <c:axId val="401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1575808"/>
        <c:crosses val="autoZero"/>
        <c:auto val="1"/>
        <c:lblAlgn val="ctr"/>
        <c:lblOffset val="100"/>
        <c:noMultiLvlLbl val="0"/>
      </c:catAx>
      <c:valAx>
        <c:axId val="4015758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altLang="en-US" sz="1200"/>
                  <a:t>平均總價</a:t>
                </a:r>
                <a:endParaRPr lang="en-US" altLang="zh-TW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157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[A7XLK-1105-MarketAnalysis.xlsx]區域分析-02!樞紐分析表4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A7</a:t>
            </a:r>
            <a:r>
              <a:rPr lang="zh-TW" sz="1800"/>
              <a:t>重劃區 成交房型 分析</a:t>
            </a:r>
            <a:endParaRPr lang="en-US" altLang="zh-TW" sz="1800"/>
          </a:p>
          <a:p>
            <a:pPr>
              <a:defRPr sz="1800"/>
            </a:pPr>
            <a:r>
              <a:rPr lang="zh-TW" altLang="en-US" sz="1200"/>
              <a:t>第四季不含</a:t>
            </a:r>
            <a:r>
              <a:rPr lang="en-US" altLang="zh-TW" sz="1200"/>
              <a:t>12</a:t>
            </a:r>
            <a:r>
              <a:rPr lang="zh-TW" altLang="en-US" sz="1200"/>
              <a:t>月份</a:t>
            </a:r>
            <a:endParaRPr lang="zh-TW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'區域分析-02'!$K$37:$K$38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'區域分析-02'!$K$39:$K$43</c:f>
              <c:numCache>
                <c:formatCode>General</c:formatCode>
                <c:ptCount val="4"/>
                <c:pt idx="0">
                  <c:v>113</c:v>
                </c:pt>
                <c:pt idx="1">
                  <c:v>33</c:v>
                </c:pt>
                <c:pt idx="2">
                  <c:v>28</c:v>
                </c:pt>
                <c:pt idx="3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01-E341-B469-302E041244DD}"/>
            </c:ext>
          </c:extLst>
        </c:ser>
        <c:ser>
          <c:idx val="1"/>
          <c:order val="1"/>
          <c:tx>
            <c:strRef>
              <c:f>'區域分析-02'!$L$37:$L$38</c:f>
              <c:strCache>
                <c:ptCount val="1"/>
                <c:pt idx="0">
                  <c:v>4房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'區域分析-02'!$L$39:$L$43</c:f>
              <c:numCache>
                <c:formatCode>General</c:formatCode>
                <c:ptCount val="4"/>
                <c:pt idx="0">
                  <c:v>22</c:v>
                </c:pt>
                <c:pt idx="1">
                  <c:v>21</c:v>
                </c:pt>
                <c:pt idx="2">
                  <c:v>31</c:v>
                </c:pt>
                <c:pt idx="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01-E341-B469-302E041244DD}"/>
            </c:ext>
          </c:extLst>
        </c:ser>
        <c:ser>
          <c:idx val="2"/>
          <c:order val="2"/>
          <c:tx>
            <c:strRef>
              <c:f>'區域分析-02'!$M$37:$M$38</c:f>
              <c:strCache>
                <c:ptCount val="1"/>
                <c:pt idx="0">
                  <c:v>3房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'區域分析-02'!$M$39:$M$43</c:f>
              <c:numCache>
                <c:formatCode>General</c:formatCode>
                <c:ptCount val="4"/>
                <c:pt idx="0">
                  <c:v>419</c:v>
                </c:pt>
                <c:pt idx="1">
                  <c:v>442</c:v>
                </c:pt>
                <c:pt idx="2">
                  <c:v>492</c:v>
                </c:pt>
                <c:pt idx="3">
                  <c:v>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01-E341-B469-302E041244DD}"/>
            </c:ext>
          </c:extLst>
        </c:ser>
        <c:ser>
          <c:idx val="3"/>
          <c:order val="3"/>
          <c:tx>
            <c:strRef>
              <c:f>'區域分析-02'!$N$37:$N$38</c:f>
              <c:strCache>
                <c:ptCount val="1"/>
                <c:pt idx="0">
                  <c:v>2房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'區域分析-02'!$J$39:$J$43</c:f>
              <c:strCache>
                <c:ptCount val="4"/>
                <c:pt idx="0">
                  <c:v>第一季</c:v>
                </c:pt>
                <c:pt idx="1">
                  <c:v>第二季</c:v>
                </c:pt>
                <c:pt idx="2">
                  <c:v>第三季</c:v>
                </c:pt>
                <c:pt idx="3">
                  <c:v>第四季</c:v>
                </c:pt>
              </c:strCache>
            </c:strRef>
          </c:cat>
          <c:val>
            <c:numRef>
              <c:f>'區域分析-02'!$N$39:$N$43</c:f>
              <c:numCache>
                <c:formatCode>General</c:formatCode>
                <c:ptCount val="4"/>
                <c:pt idx="0">
                  <c:v>303</c:v>
                </c:pt>
                <c:pt idx="1">
                  <c:v>415</c:v>
                </c:pt>
                <c:pt idx="2">
                  <c:v>513</c:v>
                </c:pt>
                <c:pt idx="3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01-E341-B469-302E041244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02233776"/>
        <c:axId val="402235424"/>
        <c:axId val="634295103"/>
      </c:bar3DChart>
      <c:catAx>
        <c:axId val="40223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235424"/>
        <c:crosses val="autoZero"/>
        <c:auto val="1"/>
        <c:lblAlgn val="ctr"/>
        <c:lblOffset val="100"/>
        <c:noMultiLvlLbl val="0"/>
      </c:catAx>
      <c:valAx>
        <c:axId val="4022354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r>
                  <a:rPr lang="zh-TW" sz="1200"/>
                  <a:t>成交量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02233776"/>
        <c:crosses val="autoZero"/>
        <c:crossBetween val="between"/>
      </c:valAx>
      <c:serAx>
        <c:axId val="634295103"/>
        <c:scaling>
          <c:orientation val="minMax"/>
        </c:scaling>
        <c:delete val="1"/>
        <c:axPos val="b"/>
        <c:majorTickMark val="none"/>
        <c:minorTickMark val="none"/>
        <c:tickLblPos val="nextTo"/>
        <c:crossAx val="402235424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[A7XLK-1105-MarketAnalysis.xlsx]區域分析-02!樞紐分析表5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800"/>
              <a:t>2021 A7</a:t>
            </a:r>
            <a:r>
              <a:rPr lang="zh-TW" sz="1800"/>
              <a:t>重劃區 成交房型 分析</a:t>
            </a:r>
          </a:p>
          <a:p>
            <a:pPr>
              <a:defRPr sz="1800"/>
            </a:pPr>
            <a:r>
              <a:rPr lang="zh-TW" sz="1200"/>
              <a:t>不含</a:t>
            </a:r>
            <a:r>
              <a:rPr lang="en-US" sz="1200"/>
              <a:t>12</a:t>
            </a:r>
            <a:r>
              <a:rPr lang="zh-TW" sz="1200"/>
              <a:t>月份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layout>
            <c:manualLayout>
              <c:x val="6.3808574277168489E-2"/>
              <c:y val="4.991087344028520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spc="0" baseline="0">
                  <a:solidFill>
                    <a:schemeClr val="accent1"/>
                  </a:solidFill>
                  <a:latin typeface="Kaiti TC" panose="02010600040101010101" pitchFamily="2" charset="-120"/>
                  <a:ea typeface="Kaiti TC" panose="02010600040101010101" pitchFamily="2" charset="-120"/>
                  <a:cs typeface="+mn-cs"/>
                </a:defRPr>
              </a:pPr>
              <a:endParaRPr lang="zh-TW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1964107676969092"/>
                  <c:h val="0.19237076648841356"/>
                </c:manualLayout>
              </c15:layout>
            </c:ext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'區域分析-02'!$J$76</c:f>
              <c:strCache>
                <c:ptCount val="1"/>
                <c:pt idx="0">
                  <c:v>合計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5614-5641-92D8-1668F42A8B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5614-5641-92D8-1668F42A8B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5614-5641-92D8-1668F42A8B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5614-5641-92D8-1668F42A8BDB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614-5641-92D8-1668F42A8BDB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2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5614-5641-92D8-1668F42A8BDB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3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5614-5641-92D8-1668F42A8BDB}"/>
                </c:ext>
              </c:extLst>
            </c:dLbl>
            <c:dLbl>
              <c:idx val="3"/>
              <c:layout>
                <c:manualLayout>
                  <c:x val="6.3808574277168489E-2"/>
                  <c:y val="4.991087344028520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964107676969092"/>
                      <c:h val="0.1923707664884135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5614-5641-92D8-1668F42A8B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'區域分析-02'!$I$77:$I$81</c:f>
              <c:strCache>
                <c:ptCount val="4"/>
                <c:pt idx="0">
                  <c:v>2房</c:v>
                </c:pt>
                <c:pt idx="1">
                  <c:v>3房</c:v>
                </c:pt>
                <c:pt idx="2">
                  <c:v>4房</c:v>
                </c:pt>
                <c:pt idx="3">
                  <c:v>其他</c:v>
                </c:pt>
              </c:strCache>
            </c:strRef>
          </c:cat>
          <c:val>
            <c:numRef>
              <c:f>'區域分析-02'!$J$77:$J$81</c:f>
              <c:numCache>
                <c:formatCode>#,##0_ </c:formatCode>
                <c:ptCount val="4"/>
                <c:pt idx="0">
                  <c:v>1561</c:v>
                </c:pt>
                <c:pt idx="1">
                  <c:v>1720</c:v>
                </c:pt>
                <c:pt idx="2">
                  <c:v>100</c:v>
                </c:pt>
                <c:pt idx="3">
                  <c:v>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4-5641-92D8-1668F42A8BDB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Kaiti TC" panose="02010600040101010101" pitchFamily="2" charset="-120"/>
          <a:ea typeface="Kaiti TC" panose="02010600040101010101" pitchFamily="2" charset="-120"/>
        </a:defRPr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806450</xdr:colOff>
      <xdr:row>21</xdr:row>
      <xdr:rowOff>184150</xdr:rowOff>
    </xdr:from>
    <xdr:to>
      <xdr:col>16</xdr:col>
      <xdr:colOff>12700</xdr:colOff>
      <xdr:row>42</xdr:row>
      <xdr:rowOff>152400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9F587A-BFD3-A549-BE62-550C8EC4E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31750</xdr:colOff>
      <xdr:row>58</xdr:row>
      <xdr:rowOff>19050</xdr:rowOff>
    </xdr:from>
    <xdr:to>
      <xdr:col>16</xdr:col>
      <xdr:colOff>25400</xdr:colOff>
      <xdr:row>77</xdr:row>
      <xdr:rowOff>12700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CCB4768-9A7E-B744-B986-1A364E225C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31750</xdr:colOff>
      <xdr:row>91</xdr:row>
      <xdr:rowOff>19050</xdr:rowOff>
    </xdr:from>
    <xdr:to>
      <xdr:col>15</xdr:col>
      <xdr:colOff>812800</xdr:colOff>
      <xdr:row>109</xdr:row>
      <xdr:rowOff>76200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C026DC31-DB62-A841-A3C1-879756A3F4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781050</xdr:colOff>
      <xdr:row>45</xdr:row>
      <xdr:rowOff>171450</xdr:rowOff>
    </xdr:from>
    <xdr:to>
      <xdr:col>20</xdr:col>
      <xdr:colOff>0</xdr:colOff>
      <xdr:row>69</xdr:row>
      <xdr:rowOff>25400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EC7691-7668-A64B-B5D9-FC7F14F82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768350</xdr:colOff>
      <xdr:row>82</xdr:row>
      <xdr:rowOff>6350</xdr:rowOff>
    </xdr:from>
    <xdr:to>
      <xdr:col>19</xdr:col>
      <xdr:colOff>939800</xdr:colOff>
      <xdr:row>100</xdr:row>
      <xdr:rowOff>139700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6D24BFB-3597-3D40-85A8-3743D865F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573.393430787037" createdVersion="7" refreshedVersion="7" minRefreshableVersion="3" recordCount="36" xr:uid="{6AC9C039-C392-744F-9456-45BFA85F67F0}">
  <cacheSource type="worksheet">
    <worksheetSource ref="B10:G46" sheet="區域分析-01"/>
  </cacheSource>
  <cacheFields count="6">
    <cacheField name="地區" numFmtId="0">
      <sharedItems count="3">
        <s v="A7 龜山"/>
        <s v="A5 泰山"/>
        <s v="A9 林口"/>
      </sharedItems>
    </cacheField>
    <cacheField name="年份" numFmtId="0">
      <sharedItems containsSemiMixedTypes="0" containsString="0" containsNumber="1" containsInteger="1" minValue="2021" maxValue="2021"/>
    </cacheField>
    <cacheField name="季度" numFmtId="0">
      <sharedItems count="4">
        <s v="第一季"/>
        <s v="第二季"/>
        <s v="第三季"/>
        <s v="第四季"/>
      </sharedItems>
    </cacheField>
    <cacheField name="類別" numFmtId="0">
      <sharedItems count="3">
        <s v="成交筆數"/>
        <s v="平均總價"/>
        <s v="平均單價"/>
      </sharedItems>
    </cacheField>
    <cacheField name="單位" numFmtId="0">
      <sharedItems/>
    </cacheField>
    <cacheField name="數字" numFmtId="0">
      <sharedItems containsSemiMixedTypes="0" containsString="0" containsNumber="1" minValue="26.7" maxValue="1469" count="36">
        <n v="857"/>
        <n v="965"/>
        <n v="27.1"/>
        <n v="64"/>
        <n v="1328"/>
        <n v="39.4"/>
        <n v="404"/>
        <n v="1359"/>
        <n v="35.299999999999997"/>
        <n v="911"/>
        <n v="1008"/>
        <n v="26.7"/>
        <n v="73"/>
        <n v="1360"/>
        <n v="40.1"/>
        <n v="317"/>
        <n v="1275"/>
        <n v="36"/>
        <n v="1064"/>
        <n v="1053"/>
        <n v="27.8"/>
        <n v="51"/>
        <n v="1382"/>
        <n v="41.2"/>
        <n v="398"/>
        <n v="1425"/>
        <n v="38"/>
        <n v="1174"/>
        <n v="1048"/>
        <n v="29.1"/>
        <n v="122"/>
        <n v="1469"/>
        <n v="43.4"/>
        <n v="199"/>
        <n v="1422"/>
        <n v="38.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573.448268287037" createdVersion="7" refreshedVersion="7" minRefreshableVersion="3" recordCount="32" xr:uid="{C72E47A0-7A73-374E-B7B4-EE7010D22CCA}">
  <cacheSource type="worksheet">
    <worksheetSource ref="B37:G69" sheet="區域分析-02"/>
  </cacheSource>
  <cacheFields count="6">
    <cacheField name="房型" numFmtId="0">
      <sharedItems count="4">
        <s v="2房"/>
        <s v="3房"/>
        <s v="4房"/>
        <s v="其他"/>
      </sharedItems>
    </cacheField>
    <cacheField name="年份" numFmtId="0">
      <sharedItems containsSemiMixedTypes="0" containsString="0" containsNumber="1" containsInteger="1" minValue="2021" maxValue="2021"/>
    </cacheField>
    <cacheField name="季度" numFmtId="0">
      <sharedItems count="4">
        <s v="第一季"/>
        <s v="第二季"/>
        <s v="第三季"/>
        <s v="第四季"/>
      </sharedItems>
    </cacheField>
    <cacheField name="類別" numFmtId="0">
      <sharedItems count="2">
        <s v="成交數"/>
        <s v="比例"/>
      </sharedItems>
    </cacheField>
    <cacheField name="單位" numFmtId="0">
      <sharedItems/>
    </cacheField>
    <cacheField name="數字" numFmtId="0">
      <sharedItems containsSemiMixedTypes="0" containsString="0" containsNumber="1" minValue="2.3099999999999999E-2" maxValue="513" count="32">
        <n v="303"/>
        <n v="419"/>
        <n v="22"/>
        <n v="113"/>
        <n v="0.35360000000000003"/>
        <n v="0.4889"/>
        <n v="2.5700000000000001E-2"/>
        <n v="0.13189999999999999"/>
        <n v="415"/>
        <n v="442"/>
        <n v="21"/>
        <n v="33"/>
        <n v="0.45550000000000002"/>
        <n v="0.48520000000000002"/>
        <n v="2.3099999999999999E-2"/>
        <n v="3.6200000000000003E-2"/>
        <n v="513"/>
        <n v="492"/>
        <n v="31"/>
        <n v="28"/>
        <n v="0.48209999999999997"/>
        <n v="0.46239999999999998"/>
        <n v="2.9100000000000001E-2"/>
        <n v="2.63E-2"/>
        <n v="330"/>
        <n v="367"/>
        <n v="26"/>
        <n v="161"/>
        <n v="0.37330000000000002"/>
        <n v="0.41520000000000001"/>
        <n v="2.9399999999999999E-2"/>
        <n v="0.1821000000000000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n v="2021"/>
    <x v="0"/>
    <x v="0"/>
    <s v="筆"/>
    <x v="0"/>
  </r>
  <r>
    <x v="0"/>
    <n v="2021"/>
    <x v="0"/>
    <x v="1"/>
    <s v="萬元"/>
    <x v="1"/>
  </r>
  <r>
    <x v="0"/>
    <n v="2021"/>
    <x v="0"/>
    <x v="2"/>
    <s v="萬元"/>
    <x v="2"/>
  </r>
  <r>
    <x v="1"/>
    <n v="2021"/>
    <x v="0"/>
    <x v="0"/>
    <s v="筆"/>
    <x v="3"/>
  </r>
  <r>
    <x v="1"/>
    <n v="2021"/>
    <x v="0"/>
    <x v="1"/>
    <s v="萬元"/>
    <x v="4"/>
  </r>
  <r>
    <x v="1"/>
    <n v="2021"/>
    <x v="0"/>
    <x v="2"/>
    <s v="萬元"/>
    <x v="5"/>
  </r>
  <r>
    <x v="2"/>
    <n v="2021"/>
    <x v="0"/>
    <x v="0"/>
    <s v="筆"/>
    <x v="6"/>
  </r>
  <r>
    <x v="2"/>
    <n v="2021"/>
    <x v="0"/>
    <x v="1"/>
    <s v="萬元"/>
    <x v="7"/>
  </r>
  <r>
    <x v="2"/>
    <n v="2021"/>
    <x v="0"/>
    <x v="2"/>
    <s v="萬元"/>
    <x v="8"/>
  </r>
  <r>
    <x v="0"/>
    <n v="2021"/>
    <x v="1"/>
    <x v="0"/>
    <s v="筆"/>
    <x v="9"/>
  </r>
  <r>
    <x v="0"/>
    <n v="2021"/>
    <x v="1"/>
    <x v="1"/>
    <s v="萬元"/>
    <x v="10"/>
  </r>
  <r>
    <x v="0"/>
    <n v="2021"/>
    <x v="1"/>
    <x v="2"/>
    <s v="萬元"/>
    <x v="11"/>
  </r>
  <r>
    <x v="1"/>
    <n v="2021"/>
    <x v="1"/>
    <x v="0"/>
    <s v="筆"/>
    <x v="12"/>
  </r>
  <r>
    <x v="1"/>
    <n v="2021"/>
    <x v="1"/>
    <x v="1"/>
    <s v="萬元"/>
    <x v="13"/>
  </r>
  <r>
    <x v="1"/>
    <n v="2021"/>
    <x v="1"/>
    <x v="2"/>
    <s v="萬元"/>
    <x v="14"/>
  </r>
  <r>
    <x v="2"/>
    <n v="2021"/>
    <x v="1"/>
    <x v="0"/>
    <s v="筆"/>
    <x v="15"/>
  </r>
  <r>
    <x v="2"/>
    <n v="2021"/>
    <x v="1"/>
    <x v="1"/>
    <s v="萬元"/>
    <x v="16"/>
  </r>
  <r>
    <x v="2"/>
    <n v="2021"/>
    <x v="1"/>
    <x v="2"/>
    <s v="萬元"/>
    <x v="17"/>
  </r>
  <r>
    <x v="0"/>
    <n v="2021"/>
    <x v="2"/>
    <x v="0"/>
    <s v="筆"/>
    <x v="18"/>
  </r>
  <r>
    <x v="0"/>
    <n v="2021"/>
    <x v="2"/>
    <x v="1"/>
    <s v="萬元"/>
    <x v="19"/>
  </r>
  <r>
    <x v="0"/>
    <n v="2021"/>
    <x v="2"/>
    <x v="2"/>
    <s v="萬元"/>
    <x v="20"/>
  </r>
  <r>
    <x v="1"/>
    <n v="2021"/>
    <x v="2"/>
    <x v="0"/>
    <s v="筆"/>
    <x v="21"/>
  </r>
  <r>
    <x v="1"/>
    <n v="2021"/>
    <x v="2"/>
    <x v="1"/>
    <s v="萬元"/>
    <x v="22"/>
  </r>
  <r>
    <x v="1"/>
    <n v="2021"/>
    <x v="2"/>
    <x v="2"/>
    <s v="萬元"/>
    <x v="23"/>
  </r>
  <r>
    <x v="2"/>
    <n v="2021"/>
    <x v="2"/>
    <x v="0"/>
    <s v="筆"/>
    <x v="24"/>
  </r>
  <r>
    <x v="2"/>
    <n v="2021"/>
    <x v="2"/>
    <x v="1"/>
    <s v="萬元"/>
    <x v="25"/>
  </r>
  <r>
    <x v="2"/>
    <n v="2021"/>
    <x v="2"/>
    <x v="2"/>
    <s v="萬元"/>
    <x v="26"/>
  </r>
  <r>
    <x v="0"/>
    <n v="2021"/>
    <x v="3"/>
    <x v="0"/>
    <s v="筆"/>
    <x v="27"/>
  </r>
  <r>
    <x v="0"/>
    <n v="2021"/>
    <x v="3"/>
    <x v="1"/>
    <s v="萬元"/>
    <x v="28"/>
  </r>
  <r>
    <x v="0"/>
    <n v="2021"/>
    <x v="3"/>
    <x v="2"/>
    <s v="萬元"/>
    <x v="29"/>
  </r>
  <r>
    <x v="1"/>
    <n v="2021"/>
    <x v="3"/>
    <x v="0"/>
    <s v="筆"/>
    <x v="30"/>
  </r>
  <r>
    <x v="1"/>
    <n v="2021"/>
    <x v="3"/>
    <x v="1"/>
    <s v="萬元"/>
    <x v="31"/>
  </r>
  <r>
    <x v="1"/>
    <n v="2021"/>
    <x v="3"/>
    <x v="2"/>
    <s v="萬元"/>
    <x v="32"/>
  </r>
  <r>
    <x v="2"/>
    <n v="2021"/>
    <x v="3"/>
    <x v="0"/>
    <s v="筆"/>
    <x v="33"/>
  </r>
  <r>
    <x v="2"/>
    <n v="2021"/>
    <x v="3"/>
    <x v="1"/>
    <s v="萬元"/>
    <x v="34"/>
  </r>
  <r>
    <x v="2"/>
    <n v="2021"/>
    <x v="3"/>
    <x v="2"/>
    <s v="萬元"/>
    <x v="3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021"/>
    <x v="0"/>
    <x v="0"/>
    <s v="戶數"/>
    <x v="0"/>
  </r>
  <r>
    <x v="1"/>
    <n v="2021"/>
    <x v="0"/>
    <x v="0"/>
    <s v="戶數"/>
    <x v="1"/>
  </r>
  <r>
    <x v="2"/>
    <n v="2021"/>
    <x v="0"/>
    <x v="0"/>
    <s v="戶數"/>
    <x v="2"/>
  </r>
  <r>
    <x v="3"/>
    <n v="2021"/>
    <x v="0"/>
    <x v="0"/>
    <s v="戶數"/>
    <x v="3"/>
  </r>
  <r>
    <x v="0"/>
    <n v="2021"/>
    <x v="0"/>
    <x v="1"/>
    <s v="%"/>
    <x v="4"/>
  </r>
  <r>
    <x v="1"/>
    <n v="2021"/>
    <x v="0"/>
    <x v="1"/>
    <s v="%"/>
    <x v="5"/>
  </r>
  <r>
    <x v="2"/>
    <n v="2021"/>
    <x v="0"/>
    <x v="1"/>
    <s v="%"/>
    <x v="6"/>
  </r>
  <r>
    <x v="3"/>
    <n v="2021"/>
    <x v="0"/>
    <x v="1"/>
    <s v="%"/>
    <x v="7"/>
  </r>
  <r>
    <x v="0"/>
    <n v="2021"/>
    <x v="1"/>
    <x v="0"/>
    <s v="戶數"/>
    <x v="8"/>
  </r>
  <r>
    <x v="1"/>
    <n v="2021"/>
    <x v="1"/>
    <x v="0"/>
    <s v="戶數"/>
    <x v="9"/>
  </r>
  <r>
    <x v="2"/>
    <n v="2021"/>
    <x v="1"/>
    <x v="0"/>
    <s v="戶數"/>
    <x v="10"/>
  </r>
  <r>
    <x v="3"/>
    <n v="2021"/>
    <x v="1"/>
    <x v="0"/>
    <s v="戶數"/>
    <x v="11"/>
  </r>
  <r>
    <x v="0"/>
    <n v="2021"/>
    <x v="1"/>
    <x v="1"/>
    <s v="%"/>
    <x v="12"/>
  </r>
  <r>
    <x v="1"/>
    <n v="2021"/>
    <x v="1"/>
    <x v="1"/>
    <s v="%"/>
    <x v="13"/>
  </r>
  <r>
    <x v="2"/>
    <n v="2021"/>
    <x v="1"/>
    <x v="1"/>
    <s v="%"/>
    <x v="14"/>
  </r>
  <r>
    <x v="3"/>
    <n v="2021"/>
    <x v="1"/>
    <x v="1"/>
    <s v="%"/>
    <x v="15"/>
  </r>
  <r>
    <x v="0"/>
    <n v="2021"/>
    <x v="2"/>
    <x v="0"/>
    <s v="戶數"/>
    <x v="16"/>
  </r>
  <r>
    <x v="1"/>
    <n v="2021"/>
    <x v="2"/>
    <x v="0"/>
    <s v="戶數"/>
    <x v="17"/>
  </r>
  <r>
    <x v="2"/>
    <n v="2021"/>
    <x v="2"/>
    <x v="0"/>
    <s v="戶數"/>
    <x v="18"/>
  </r>
  <r>
    <x v="3"/>
    <n v="2021"/>
    <x v="2"/>
    <x v="0"/>
    <s v="戶數"/>
    <x v="19"/>
  </r>
  <r>
    <x v="0"/>
    <n v="2021"/>
    <x v="2"/>
    <x v="1"/>
    <s v="%"/>
    <x v="20"/>
  </r>
  <r>
    <x v="1"/>
    <n v="2021"/>
    <x v="2"/>
    <x v="1"/>
    <s v="%"/>
    <x v="21"/>
  </r>
  <r>
    <x v="2"/>
    <n v="2021"/>
    <x v="2"/>
    <x v="1"/>
    <s v="%"/>
    <x v="22"/>
  </r>
  <r>
    <x v="3"/>
    <n v="2021"/>
    <x v="2"/>
    <x v="1"/>
    <s v="%"/>
    <x v="23"/>
  </r>
  <r>
    <x v="0"/>
    <n v="2021"/>
    <x v="3"/>
    <x v="0"/>
    <s v="戶數"/>
    <x v="24"/>
  </r>
  <r>
    <x v="1"/>
    <n v="2021"/>
    <x v="3"/>
    <x v="0"/>
    <s v="戶數"/>
    <x v="25"/>
  </r>
  <r>
    <x v="2"/>
    <n v="2021"/>
    <x v="3"/>
    <x v="0"/>
    <s v="戶數"/>
    <x v="26"/>
  </r>
  <r>
    <x v="3"/>
    <n v="2021"/>
    <x v="3"/>
    <x v="0"/>
    <s v="戶數"/>
    <x v="27"/>
  </r>
  <r>
    <x v="0"/>
    <n v="2021"/>
    <x v="3"/>
    <x v="1"/>
    <s v="%"/>
    <x v="28"/>
  </r>
  <r>
    <x v="1"/>
    <n v="2021"/>
    <x v="3"/>
    <x v="1"/>
    <s v="%"/>
    <x v="29"/>
  </r>
  <r>
    <x v="2"/>
    <n v="2021"/>
    <x v="3"/>
    <x v="1"/>
    <s v="%"/>
    <x v="30"/>
  </r>
  <r>
    <x v="3"/>
    <n v="2021"/>
    <x v="3"/>
    <x v="1"/>
    <s v="%"/>
    <x v="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E1FF5-8F93-5D4B-8D53-2FA9409BDAE8}" name="樞紐分析表3" cacheId="7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H83:M88" firstHeaderRow="1" firstDataRow="2" firstDataCol="1" rowPageCount="1" colPageCount="1"/>
  <pivotFields count="6">
    <pivotField axis="axisRow" showAll="0">
      <items count="4">
        <item x="1"/>
        <item x="0"/>
        <item x="2"/>
        <item t="default"/>
      </items>
    </pivotField>
    <pivotField showAll="0"/>
    <pivotField axis="axisCol" showAll="0">
      <items count="5">
        <item x="0"/>
        <item x="1"/>
        <item x="2"/>
        <item x="3"/>
        <item t="default"/>
      </items>
    </pivotField>
    <pivotField axis="axisPage" multipleItemSelectionAllowed="1" showAll="0">
      <items count="4">
        <item h="1" x="2"/>
        <item x="1"/>
        <item h="1" x="0"/>
        <item t="default"/>
      </items>
    </pivotField>
    <pivotField showAll="0"/>
    <pivotField dataField="1" showAll="0">
      <items count="37">
        <item x="11"/>
        <item x="2"/>
        <item x="20"/>
        <item x="29"/>
        <item x="8"/>
        <item x="17"/>
        <item x="26"/>
        <item x="35"/>
        <item x="5"/>
        <item x="14"/>
        <item x="23"/>
        <item x="32"/>
        <item x="21"/>
        <item x="3"/>
        <item x="12"/>
        <item x="30"/>
        <item x="33"/>
        <item x="15"/>
        <item x="24"/>
        <item x="6"/>
        <item x="0"/>
        <item x="9"/>
        <item x="1"/>
        <item x="10"/>
        <item x="28"/>
        <item x="19"/>
        <item x="18"/>
        <item x="27"/>
        <item x="16"/>
        <item x="4"/>
        <item x="7"/>
        <item x="13"/>
        <item x="22"/>
        <item x="34"/>
        <item x="25"/>
        <item x="31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平均值 - 數字" fld="5" subtotal="average" baseField="0" baseItem="0" numFmtId="181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04336-7B3D-A342-9990-49B490C95592}" name="樞紐分析表2" cacheId="7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I49:M55" firstHeaderRow="1" firstDataRow="2" firstDataCol="1" rowPageCount="1" colPageCount="1"/>
  <pivotFields count="6">
    <pivotField axis="axisCol" showAll="0">
      <items count="4">
        <item x="1"/>
        <item x="0"/>
        <item x="2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axis="axisPage" multipleItemSelectionAllowed="1" showAll="0">
      <items count="4">
        <item x="2"/>
        <item h="1" x="1"/>
        <item h="1" x="0"/>
        <item t="default"/>
      </items>
    </pivotField>
    <pivotField showAll="0"/>
    <pivotField dataField="1" showAll="0">
      <items count="37">
        <item x="11"/>
        <item x="2"/>
        <item x="20"/>
        <item x="29"/>
        <item x="8"/>
        <item x="17"/>
        <item x="26"/>
        <item x="35"/>
        <item x="5"/>
        <item x="14"/>
        <item x="23"/>
        <item x="32"/>
        <item x="21"/>
        <item x="3"/>
        <item x="12"/>
        <item x="30"/>
        <item x="33"/>
        <item x="15"/>
        <item x="24"/>
        <item x="6"/>
        <item x="0"/>
        <item x="9"/>
        <item x="1"/>
        <item x="10"/>
        <item x="28"/>
        <item x="19"/>
        <item x="18"/>
        <item x="27"/>
        <item x="16"/>
        <item x="4"/>
        <item x="7"/>
        <item x="13"/>
        <item x="22"/>
        <item x="34"/>
        <item x="25"/>
        <item x="3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pageFields count="1">
    <pageField fld="3" hier="-1"/>
  </pageFields>
  <dataFields count="1">
    <dataField name="加總 - 數字" fld="5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33CB77-500D-0846-837D-B8F9FA10D073}" name="樞紐分析表1" cacheId="7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3">
  <location ref="J10:O15" firstHeaderRow="1" firstDataRow="2" firstDataCol="1" rowPageCount="1" colPageCount="1"/>
  <pivotFields count="6">
    <pivotField axis="axisRow" showAll="0">
      <items count="4">
        <item x="1"/>
        <item x="0"/>
        <item x="2"/>
        <item t="default"/>
      </items>
    </pivotField>
    <pivotField showAll="0"/>
    <pivotField axis="axisCol" showAll="0">
      <items count="5">
        <item x="0"/>
        <item x="1"/>
        <item x="2"/>
        <item x="3"/>
        <item t="default"/>
      </items>
    </pivotField>
    <pivotField axis="axisPage" multipleItemSelectionAllowed="1" showAll="0">
      <items count="4">
        <item h="1" x="2"/>
        <item h="1" x="1"/>
        <item x="0"/>
        <item t="default"/>
      </items>
    </pivotField>
    <pivotField showAll="0"/>
    <pivotField dataField="1" showAll="0">
      <items count="37">
        <item x="11"/>
        <item x="2"/>
        <item x="20"/>
        <item x="29"/>
        <item x="8"/>
        <item x="17"/>
        <item x="26"/>
        <item x="35"/>
        <item x="5"/>
        <item x="14"/>
        <item x="23"/>
        <item x="32"/>
        <item x="21"/>
        <item x="3"/>
        <item x="12"/>
        <item x="30"/>
        <item x="33"/>
        <item x="15"/>
        <item x="24"/>
        <item x="6"/>
        <item x="0"/>
        <item x="9"/>
        <item x="1"/>
        <item x="10"/>
        <item x="28"/>
        <item x="19"/>
        <item x="18"/>
        <item x="27"/>
        <item x="16"/>
        <item x="4"/>
        <item x="7"/>
        <item x="13"/>
        <item x="22"/>
        <item x="34"/>
        <item x="25"/>
        <item x="31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平均值 - 數字" fld="5" subtotal="average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472707-6589-414B-B8AA-943FABDA29D1}" name="樞紐分析表5" cacheId="14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I76:J81" firstHeaderRow="1" firstDataRow="1" firstDataCol="1" rowPageCount="1" colPageCount="1"/>
  <pivotFields count="6"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dataField="1" showAll="0">
      <items count="33">
        <item x="14"/>
        <item x="6"/>
        <item x="23"/>
        <item x="22"/>
        <item x="30"/>
        <item x="15"/>
        <item x="7"/>
        <item x="31"/>
        <item x="4"/>
        <item x="28"/>
        <item x="29"/>
        <item x="12"/>
        <item x="21"/>
        <item x="20"/>
        <item x="13"/>
        <item x="5"/>
        <item x="10"/>
        <item x="2"/>
        <item x="26"/>
        <item x="19"/>
        <item x="18"/>
        <item x="11"/>
        <item x="3"/>
        <item x="27"/>
        <item x="0"/>
        <item x="24"/>
        <item x="25"/>
        <item x="8"/>
        <item x="1"/>
        <item x="9"/>
        <item x="17"/>
        <item x="16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加總 - 數字" fld="5" baseField="0" baseItem="0" numFmtId="181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F693C-7021-BC44-94FB-78B7F3E25852}" name="樞紐分析表4" cacheId="14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J37:O43" firstHeaderRow="1" firstDataRow="2" firstDataCol="1" rowPageCount="1" colPageCount="1"/>
  <pivotFields count="6">
    <pivotField axis="axisCol" showAll="0" sortType="descending">
      <items count="5">
        <item x="3"/>
        <item x="2"/>
        <item x="1"/>
        <item x="0"/>
        <item t="default"/>
      </items>
    </pivotField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3" hier="-1"/>
  </pageFields>
  <dataFields count="1">
    <dataField name="加總 - 數字" fld="5" baseField="0" baseItem="0"/>
  </dataFields>
  <chartFormats count="2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1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1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1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2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2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2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2" count="1" selected="0">
            <x v="3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2" count="1" selected="0">
            <x v="3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3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04F95-C4D4-E949-AE4A-1D7A8A9ADFB7}">
  <dimension ref="B2:O88"/>
  <sheetViews>
    <sheetView workbookViewId="0">
      <selection activeCell="C10" sqref="C10:G10"/>
    </sheetView>
  </sheetViews>
  <sheetFormatPr baseColWidth="10" defaultRowHeight="15"/>
  <cols>
    <col min="8" max="8" width="13.83203125" bestFit="1" customWidth="1"/>
    <col min="9" max="9" width="12.33203125" bestFit="1" customWidth="1"/>
    <col min="10" max="12" width="8" bestFit="1" customWidth="1"/>
    <col min="13" max="14" width="7" bestFit="1" customWidth="1"/>
    <col min="15" max="15" width="8" bestFit="1" customWidth="1"/>
  </cols>
  <sheetData>
    <row r="2" spans="2:15">
      <c r="B2" t="s">
        <v>0</v>
      </c>
    </row>
    <row r="3" spans="2:15">
      <c r="B3" t="s">
        <v>31</v>
      </c>
      <c r="C3" t="s">
        <v>32</v>
      </c>
    </row>
    <row r="4" spans="2:15">
      <c r="B4" t="s">
        <v>33</v>
      </c>
      <c r="C4" t="s">
        <v>35</v>
      </c>
    </row>
    <row r="5" spans="2:15">
      <c r="B5" t="s">
        <v>34</v>
      </c>
      <c r="C5" s="3">
        <v>44573</v>
      </c>
    </row>
    <row r="6" spans="2:15">
      <c r="B6" t="s">
        <v>37</v>
      </c>
      <c r="C6" s="3" t="s">
        <v>36</v>
      </c>
    </row>
    <row r="7" spans="2:15">
      <c r="C7" s="3"/>
    </row>
    <row r="8" spans="2:15">
      <c r="B8" t="s">
        <v>1</v>
      </c>
      <c r="J8" s="4" t="s">
        <v>5</v>
      </c>
      <c r="K8" t="s">
        <v>10</v>
      </c>
    </row>
    <row r="10" spans="2:15">
      <c r="B10" t="s">
        <v>2</v>
      </c>
      <c r="C10" t="s">
        <v>3</v>
      </c>
      <c r="D10" t="s">
        <v>4</v>
      </c>
      <c r="E10" t="s">
        <v>6</v>
      </c>
      <c r="F10" t="s">
        <v>14</v>
      </c>
      <c r="G10" t="s">
        <v>7</v>
      </c>
      <c r="J10" s="4" t="s">
        <v>42</v>
      </c>
      <c r="K10" s="4" t="s">
        <v>40</v>
      </c>
    </row>
    <row r="11" spans="2:15">
      <c r="B11" t="s">
        <v>20</v>
      </c>
      <c r="C11">
        <v>2021</v>
      </c>
      <c r="D11" t="s">
        <v>9</v>
      </c>
      <c r="E11" t="s">
        <v>11</v>
      </c>
      <c r="F11" t="s">
        <v>15</v>
      </c>
      <c r="G11">
        <v>857</v>
      </c>
      <c r="J11" s="4" t="s">
        <v>38</v>
      </c>
      <c r="K11" t="s">
        <v>8</v>
      </c>
      <c r="L11" t="s">
        <v>25</v>
      </c>
      <c r="M11" t="s">
        <v>27</v>
      </c>
      <c r="N11" t="s">
        <v>29</v>
      </c>
      <c r="O11" t="s">
        <v>39</v>
      </c>
    </row>
    <row r="12" spans="2:15">
      <c r="B12" t="s">
        <v>20</v>
      </c>
      <c r="C12">
        <v>2021</v>
      </c>
      <c r="D12" t="s">
        <v>9</v>
      </c>
      <c r="E12" t="s">
        <v>13</v>
      </c>
      <c r="F12" t="s">
        <v>16</v>
      </c>
      <c r="G12">
        <v>965</v>
      </c>
      <c r="J12" s="5" t="s">
        <v>21</v>
      </c>
      <c r="K12" s="6">
        <v>64</v>
      </c>
      <c r="L12" s="6">
        <v>73</v>
      </c>
      <c r="M12" s="6">
        <v>51</v>
      </c>
      <c r="N12" s="6">
        <v>122</v>
      </c>
      <c r="O12" s="6">
        <v>77.5</v>
      </c>
    </row>
    <row r="13" spans="2:15">
      <c r="B13" t="s">
        <v>20</v>
      </c>
      <c r="C13">
        <v>2021</v>
      </c>
      <c r="D13" t="s">
        <v>9</v>
      </c>
      <c r="E13" t="s">
        <v>18</v>
      </c>
      <c r="F13" t="s">
        <v>16</v>
      </c>
      <c r="G13">
        <v>27.1</v>
      </c>
      <c r="J13" s="5" t="s">
        <v>19</v>
      </c>
      <c r="K13" s="6">
        <v>857</v>
      </c>
      <c r="L13" s="6">
        <v>911</v>
      </c>
      <c r="M13" s="6">
        <v>1064</v>
      </c>
      <c r="N13" s="6">
        <v>1174</v>
      </c>
      <c r="O13" s="6">
        <v>1001.5</v>
      </c>
    </row>
    <row r="14" spans="2:15">
      <c r="B14" t="s">
        <v>22</v>
      </c>
      <c r="C14">
        <v>2021</v>
      </c>
      <c r="D14" t="s">
        <v>9</v>
      </c>
      <c r="E14" t="s">
        <v>11</v>
      </c>
      <c r="F14" t="s">
        <v>15</v>
      </c>
      <c r="G14">
        <v>64</v>
      </c>
      <c r="J14" s="5" t="s">
        <v>23</v>
      </c>
      <c r="K14" s="6">
        <v>404</v>
      </c>
      <c r="L14" s="6">
        <v>317</v>
      </c>
      <c r="M14" s="6">
        <v>398</v>
      </c>
      <c r="N14" s="6">
        <v>199</v>
      </c>
      <c r="O14" s="6">
        <v>329.5</v>
      </c>
    </row>
    <row r="15" spans="2:15">
      <c r="B15" t="s">
        <v>22</v>
      </c>
      <c r="C15">
        <v>2021</v>
      </c>
      <c r="D15" t="s">
        <v>9</v>
      </c>
      <c r="E15" t="s">
        <v>13</v>
      </c>
      <c r="F15" t="s">
        <v>16</v>
      </c>
      <c r="G15" s="1">
        <v>1328</v>
      </c>
      <c r="J15" s="5" t="s">
        <v>39</v>
      </c>
      <c r="K15" s="6">
        <v>441.66666666666669</v>
      </c>
      <c r="L15" s="6">
        <v>433.66666666666669</v>
      </c>
      <c r="M15" s="6">
        <v>504.33333333333331</v>
      </c>
      <c r="N15" s="6">
        <v>498.33333333333331</v>
      </c>
      <c r="O15" s="6">
        <v>469.5</v>
      </c>
    </row>
    <row r="16" spans="2:15">
      <c r="B16" t="s">
        <v>22</v>
      </c>
      <c r="C16">
        <v>2021</v>
      </c>
      <c r="D16" t="s">
        <v>9</v>
      </c>
      <c r="E16" t="s">
        <v>18</v>
      </c>
      <c r="F16" t="s">
        <v>16</v>
      </c>
      <c r="G16">
        <v>39.4</v>
      </c>
    </row>
    <row r="17" spans="2:7">
      <c r="B17" t="s">
        <v>24</v>
      </c>
      <c r="C17">
        <v>2021</v>
      </c>
      <c r="D17" t="s">
        <v>9</v>
      </c>
      <c r="E17" t="s">
        <v>11</v>
      </c>
      <c r="F17" t="s">
        <v>15</v>
      </c>
      <c r="G17">
        <v>404</v>
      </c>
    </row>
    <row r="18" spans="2:7">
      <c r="B18" t="s">
        <v>24</v>
      </c>
      <c r="C18">
        <v>2021</v>
      </c>
      <c r="D18" t="s">
        <v>9</v>
      </c>
      <c r="E18" t="s">
        <v>13</v>
      </c>
      <c r="F18" t="s">
        <v>16</v>
      </c>
      <c r="G18" s="1">
        <v>1359</v>
      </c>
    </row>
    <row r="19" spans="2:7">
      <c r="B19" t="s">
        <v>24</v>
      </c>
      <c r="C19">
        <v>2021</v>
      </c>
      <c r="D19" t="s">
        <v>9</v>
      </c>
      <c r="E19" t="s">
        <v>18</v>
      </c>
      <c r="F19" t="s">
        <v>16</v>
      </c>
      <c r="G19">
        <v>35.299999999999997</v>
      </c>
    </row>
    <row r="20" spans="2:7">
      <c r="B20" t="s">
        <v>20</v>
      </c>
      <c r="C20">
        <v>2021</v>
      </c>
      <c r="D20" t="s">
        <v>26</v>
      </c>
      <c r="E20" t="s">
        <v>11</v>
      </c>
      <c r="F20" t="s">
        <v>15</v>
      </c>
      <c r="G20">
        <v>911</v>
      </c>
    </row>
    <row r="21" spans="2:7">
      <c r="B21" t="s">
        <v>20</v>
      </c>
      <c r="C21">
        <v>2021</v>
      </c>
      <c r="D21" t="s">
        <v>26</v>
      </c>
      <c r="E21" t="s">
        <v>13</v>
      </c>
      <c r="F21" t="s">
        <v>16</v>
      </c>
      <c r="G21" s="1">
        <v>1008</v>
      </c>
    </row>
    <row r="22" spans="2:7">
      <c r="B22" t="s">
        <v>20</v>
      </c>
      <c r="C22">
        <v>2021</v>
      </c>
      <c r="D22" t="s">
        <v>26</v>
      </c>
      <c r="E22" t="s">
        <v>18</v>
      </c>
      <c r="F22" t="s">
        <v>16</v>
      </c>
      <c r="G22">
        <v>26.7</v>
      </c>
    </row>
    <row r="23" spans="2:7">
      <c r="B23" t="s">
        <v>22</v>
      </c>
      <c r="C23">
        <v>2021</v>
      </c>
      <c r="D23" t="s">
        <v>26</v>
      </c>
      <c r="E23" t="s">
        <v>11</v>
      </c>
      <c r="F23" t="s">
        <v>15</v>
      </c>
      <c r="G23">
        <v>73</v>
      </c>
    </row>
    <row r="24" spans="2:7">
      <c r="B24" t="s">
        <v>22</v>
      </c>
      <c r="C24">
        <v>2021</v>
      </c>
      <c r="D24" t="s">
        <v>26</v>
      </c>
      <c r="E24" t="s">
        <v>13</v>
      </c>
      <c r="F24" t="s">
        <v>16</v>
      </c>
      <c r="G24" s="1">
        <v>1360</v>
      </c>
    </row>
    <row r="25" spans="2:7">
      <c r="B25" t="s">
        <v>22</v>
      </c>
      <c r="C25">
        <v>2021</v>
      </c>
      <c r="D25" t="s">
        <v>26</v>
      </c>
      <c r="E25" t="s">
        <v>18</v>
      </c>
      <c r="F25" t="s">
        <v>16</v>
      </c>
      <c r="G25">
        <v>40.1</v>
      </c>
    </row>
    <row r="26" spans="2:7">
      <c r="B26" t="s">
        <v>24</v>
      </c>
      <c r="C26">
        <v>2021</v>
      </c>
      <c r="D26" t="s">
        <v>26</v>
      </c>
      <c r="E26" t="s">
        <v>11</v>
      </c>
      <c r="F26" t="s">
        <v>15</v>
      </c>
      <c r="G26">
        <v>317</v>
      </c>
    </row>
    <row r="27" spans="2:7">
      <c r="B27" t="s">
        <v>24</v>
      </c>
      <c r="C27">
        <v>2021</v>
      </c>
      <c r="D27" t="s">
        <v>26</v>
      </c>
      <c r="E27" t="s">
        <v>13</v>
      </c>
      <c r="F27" t="s">
        <v>16</v>
      </c>
      <c r="G27" s="1">
        <v>1275</v>
      </c>
    </row>
    <row r="28" spans="2:7">
      <c r="B28" t="s">
        <v>24</v>
      </c>
      <c r="C28">
        <v>2021</v>
      </c>
      <c r="D28" t="s">
        <v>26</v>
      </c>
      <c r="E28" t="s">
        <v>18</v>
      </c>
      <c r="F28" t="s">
        <v>16</v>
      </c>
      <c r="G28" s="2">
        <v>36</v>
      </c>
    </row>
    <row r="29" spans="2:7">
      <c r="B29" t="s">
        <v>20</v>
      </c>
      <c r="C29">
        <v>2021</v>
      </c>
      <c r="D29" t="s">
        <v>28</v>
      </c>
      <c r="E29" t="s">
        <v>11</v>
      </c>
      <c r="F29" t="s">
        <v>15</v>
      </c>
      <c r="G29" s="1">
        <v>1064</v>
      </c>
    </row>
    <row r="30" spans="2:7">
      <c r="B30" t="s">
        <v>20</v>
      </c>
      <c r="C30">
        <v>2021</v>
      </c>
      <c r="D30" t="s">
        <v>28</v>
      </c>
      <c r="E30" t="s">
        <v>13</v>
      </c>
      <c r="F30" t="s">
        <v>16</v>
      </c>
      <c r="G30" s="1">
        <v>1053</v>
      </c>
    </row>
    <row r="31" spans="2:7">
      <c r="B31" t="s">
        <v>20</v>
      </c>
      <c r="C31">
        <v>2021</v>
      </c>
      <c r="D31" t="s">
        <v>28</v>
      </c>
      <c r="E31" t="s">
        <v>18</v>
      </c>
      <c r="F31" t="s">
        <v>16</v>
      </c>
      <c r="G31" s="1">
        <v>27.8</v>
      </c>
    </row>
    <row r="32" spans="2:7">
      <c r="B32" t="s">
        <v>22</v>
      </c>
      <c r="C32">
        <v>2021</v>
      </c>
      <c r="D32" t="s">
        <v>28</v>
      </c>
      <c r="E32" t="s">
        <v>11</v>
      </c>
      <c r="F32" t="s">
        <v>15</v>
      </c>
      <c r="G32" s="1">
        <v>51</v>
      </c>
    </row>
    <row r="33" spans="2:10">
      <c r="B33" t="s">
        <v>22</v>
      </c>
      <c r="C33">
        <v>2021</v>
      </c>
      <c r="D33" t="s">
        <v>28</v>
      </c>
      <c r="E33" t="s">
        <v>13</v>
      </c>
      <c r="F33" t="s">
        <v>16</v>
      </c>
      <c r="G33" s="1">
        <v>1382</v>
      </c>
    </row>
    <row r="34" spans="2:10">
      <c r="B34" t="s">
        <v>22</v>
      </c>
      <c r="C34">
        <v>2021</v>
      </c>
      <c r="D34" t="s">
        <v>28</v>
      </c>
      <c r="E34" t="s">
        <v>18</v>
      </c>
      <c r="F34" t="s">
        <v>16</v>
      </c>
      <c r="G34" s="1">
        <v>41.2</v>
      </c>
    </row>
    <row r="35" spans="2:10">
      <c r="B35" t="s">
        <v>24</v>
      </c>
      <c r="C35">
        <v>2021</v>
      </c>
      <c r="D35" t="s">
        <v>28</v>
      </c>
      <c r="E35" t="s">
        <v>11</v>
      </c>
      <c r="F35" t="s">
        <v>15</v>
      </c>
      <c r="G35" s="1">
        <v>398</v>
      </c>
    </row>
    <row r="36" spans="2:10">
      <c r="B36" t="s">
        <v>24</v>
      </c>
      <c r="C36">
        <v>2021</v>
      </c>
      <c r="D36" t="s">
        <v>28</v>
      </c>
      <c r="E36" t="s">
        <v>13</v>
      </c>
      <c r="F36" t="s">
        <v>16</v>
      </c>
      <c r="G36" s="1">
        <v>1425</v>
      </c>
    </row>
    <row r="37" spans="2:10">
      <c r="B37" t="s">
        <v>24</v>
      </c>
      <c r="C37">
        <v>2021</v>
      </c>
      <c r="D37" t="s">
        <v>28</v>
      </c>
      <c r="E37" t="s">
        <v>18</v>
      </c>
      <c r="F37" t="s">
        <v>16</v>
      </c>
      <c r="G37" s="2">
        <v>38</v>
      </c>
    </row>
    <row r="38" spans="2:10">
      <c r="B38" t="s">
        <v>20</v>
      </c>
      <c r="C38">
        <v>2021</v>
      </c>
      <c r="D38" t="s">
        <v>30</v>
      </c>
      <c r="E38" t="s">
        <v>11</v>
      </c>
      <c r="F38" t="s">
        <v>15</v>
      </c>
      <c r="G38" s="1">
        <v>1174</v>
      </c>
    </row>
    <row r="39" spans="2:10">
      <c r="B39" t="s">
        <v>20</v>
      </c>
      <c r="C39">
        <v>2021</v>
      </c>
      <c r="D39" t="s">
        <v>30</v>
      </c>
      <c r="E39" t="s">
        <v>13</v>
      </c>
      <c r="F39" t="s">
        <v>16</v>
      </c>
      <c r="G39" s="1">
        <v>1048</v>
      </c>
    </row>
    <row r="40" spans="2:10">
      <c r="B40" t="s">
        <v>20</v>
      </c>
      <c r="C40">
        <v>2021</v>
      </c>
      <c r="D40" t="s">
        <v>30</v>
      </c>
      <c r="E40" t="s">
        <v>18</v>
      </c>
      <c r="F40" t="s">
        <v>16</v>
      </c>
      <c r="G40" s="1">
        <v>29.1</v>
      </c>
    </row>
    <row r="41" spans="2:10">
      <c r="B41" t="s">
        <v>22</v>
      </c>
      <c r="C41">
        <v>2021</v>
      </c>
      <c r="D41" t="s">
        <v>30</v>
      </c>
      <c r="E41" t="s">
        <v>11</v>
      </c>
      <c r="F41" t="s">
        <v>15</v>
      </c>
      <c r="G41" s="1">
        <v>122</v>
      </c>
    </row>
    <row r="42" spans="2:10">
      <c r="B42" t="s">
        <v>22</v>
      </c>
      <c r="C42">
        <v>2021</v>
      </c>
      <c r="D42" t="s">
        <v>30</v>
      </c>
      <c r="E42" t="s">
        <v>13</v>
      </c>
      <c r="F42" t="s">
        <v>16</v>
      </c>
      <c r="G42" s="1">
        <v>1469</v>
      </c>
    </row>
    <row r="43" spans="2:10">
      <c r="B43" t="s">
        <v>22</v>
      </c>
      <c r="C43">
        <v>2021</v>
      </c>
      <c r="D43" t="s">
        <v>30</v>
      </c>
      <c r="E43" t="s">
        <v>18</v>
      </c>
      <c r="F43" t="s">
        <v>16</v>
      </c>
      <c r="G43" s="1">
        <v>43.4</v>
      </c>
    </row>
    <row r="44" spans="2:10">
      <c r="B44" t="s">
        <v>24</v>
      </c>
      <c r="C44">
        <v>2021</v>
      </c>
      <c r="D44" t="s">
        <v>30</v>
      </c>
      <c r="E44" t="s">
        <v>11</v>
      </c>
      <c r="F44" t="s">
        <v>15</v>
      </c>
      <c r="G44" s="1">
        <v>199</v>
      </c>
    </row>
    <row r="45" spans="2:10">
      <c r="B45" t="s">
        <v>24</v>
      </c>
      <c r="C45">
        <v>2021</v>
      </c>
      <c r="D45" t="s">
        <v>30</v>
      </c>
      <c r="E45" t="s">
        <v>13</v>
      </c>
      <c r="F45" t="s">
        <v>16</v>
      </c>
      <c r="G45" s="1">
        <v>1422</v>
      </c>
    </row>
    <row r="46" spans="2:10">
      <c r="B46" t="s">
        <v>24</v>
      </c>
      <c r="C46">
        <v>2021</v>
      </c>
      <c r="D46" t="s">
        <v>30</v>
      </c>
      <c r="E46" t="s">
        <v>18</v>
      </c>
      <c r="F46" t="s">
        <v>16</v>
      </c>
      <c r="G46" s="1">
        <v>38.9</v>
      </c>
    </row>
    <row r="47" spans="2:10">
      <c r="I47" s="4" t="s">
        <v>5</v>
      </c>
      <c r="J47" t="s">
        <v>17</v>
      </c>
    </row>
    <row r="49" spans="9:13">
      <c r="I49" s="4" t="s">
        <v>41</v>
      </c>
      <c r="J49" s="4" t="s">
        <v>40</v>
      </c>
    </row>
    <row r="50" spans="9:13">
      <c r="I50" s="4" t="s">
        <v>38</v>
      </c>
      <c r="J50" t="s">
        <v>21</v>
      </c>
      <c r="K50" t="s">
        <v>19</v>
      </c>
      <c r="L50" t="s">
        <v>23</v>
      </c>
      <c r="M50" t="s">
        <v>39</v>
      </c>
    </row>
    <row r="51" spans="9:13">
      <c r="I51" s="5" t="s">
        <v>8</v>
      </c>
      <c r="J51" s="6">
        <v>39.4</v>
      </c>
      <c r="K51" s="6">
        <v>27.1</v>
      </c>
      <c r="L51" s="6">
        <v>35.299999999999997</v>
      </c>
      <c r="M51" s="6">
        <v>101.8</v>
      </c>
    </row>
    <row r="52" spans="9:13">
      <c r="I52" s="5" t="s">
        <v>25</v>
      </c>
      <c r="J52" s="6">
        <v>40.1</v>
      </c>
      <c r="K52" s="6">
        <v>26.7</v>
      </c>
      <c r="L52" s="6">
        <v>36</v>
      </c>
      <c r="M52" s="6">
        <v>102.8</v>
      </c>
    </row>
    <row r="53" spans="9:13">
      <c r="I53" s="5" t="s">
        <v>27</v>
      </c>
      <c r="J53" s="6">
        <v>41.2</v>
      </c>
      <c r="K53" s="6">
        <v>27.8</v>
      </c>
      <c r="L53" s="6">
        <v>38</v>
      </c>
      <c r="M53" s="6">
        <v>107</v>
      </c>
    </row>
    <row r="54" spans="9:13">
      <c r="I54" s="5" t="s">
        <v>29</v>
      </c>
      <c r="J54" s="6">
        <v>43.4</v>
      </c>
      <c r="K54" s="6">
        <v>29.1</v>
      </c>
      <c r="L54" s="6">
        <v>38.9</v>
      </c>
      <c r="M54" s="6">
        <v>111.4</v>
      </c>
    </row>
    <row r="55" spans="9:13">
      <c r="I55" s="5" t="s">
        <v>39</v>
      </c>
      <c r="J55" s="6">
        <v>164.1</v>
      </c>
      <c r="K55" s="6">
        <v>110.69999999999999</v>
      </c>
      <c r="L55" s="6">
        <v>148.19999999999999</v>
      </c>
      <c r="M55" s="6">
        <v>423</v>
      </c>
    </row>
    <row r="81" spans="8:13">
      <c r="H81" s="4" t="s">
        <v>5</v>
      </c>
      <c r="I81" t="s">
        <v>12</v>
      </c>
    </row>
    <row r="83" spans="8:13">
      <c r="H83" s="4" t="s">
        <v>42</v>
      </c>
      <c r="I83" s="4" t="s">
        <v>40</v>
      </c>
    </row>
    <row r="84" spans="8:13">
      <c r="H84" s="4" t="s">
        <v>38</v>
      </c>
      <c r="I84" t="s">
        <v>8</v>
      </c>
      <c r="J84" t="s">
        <v>25</v>
      </c>
      <c r="K84" t="s">
        <v>27</v>
      </c>
      <c r="L84" t="s">
        <v>29</v>
      </c>
      <c r="M84" t="s">
        <v>39</v>
      </c>
    </row>
    <row r="85" spans="8:13">
      <c r="H85" s="5" t="s">
        <v>21</v>
      </c>
      <c r="I85" s="7">
        <v>1328</v>
      </c>
      <c r="J85" s="7">
        <v>1360</v>
      </c>
      <c r="K85" s="7">
        <v>1382</v>
      </c>
      <c r="L85" s="7">
        <v>1469</v>
      </c>
      <c r="M85" s="7">
        <v>1384.75</v>
      </c>
    </row>
    <row r="86" spans="8:13">
      <c r="H86" s="5" t="s">
        <v>19</v>
      </c>
      <c r="I86" s="7">
        <v>965</v>
      </c>
      <c r="J86" s="7">
        <v>1008</v>
      </c>
      <c r="K86" s="7">
        <v>1053</v>
      </c>
      <c r="L86" s="7">
        <v>1048</v>
      </c>
      <c r="M86" s="7">
        <v>1018.5</v>
      </c>
    </row>
    <row r="87" spans="8:13">
      <c r="H87" s="5" t="s">
        <v>23</v>
      </c>
      <c r="I87" s="7">
        <v>1359</v>
      </c>
      <c r="J87" s="7">
        <v>1275</v>
      </c>
      <c r="K87" s="7">
        <v>1425</v>
      </c>
      <c r="L87" s="7">
        <v>1422</v>
      </c>
      <c r="M87" s="7">
        <v>1370.25</v>
      </c>
    </row>
    <row r="88" spans="8:13">
      <c r="H88" s="5" t="s">
        <v>39</v>
      </c>
      <c r="I88" s="7">
        <v>1217.3333333333333</v>
      </c>
      <c r="J88" s="7">
        <v>1214.3333333333333</v>
      </c>
      <c r="K88" s="7">
        <v>1286.6666666666667</v>
      </c>
      <c r="L88" s="7">
        <v>1313</v>
      </c>
      <c r="M88" s="7">
        <v>1257.8333333333333</v>
      </c>
    </row>
  </sheetData>
  <phoneticPr fontId="1" type="noConversion"/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0E4C9-42D1-024D-B580-5252EC6B8B38}">
  <dimension ref="B31:O81"/>
  <sheetViews>
    <sheetView tabSelected="1" topLeftCell="C76" zoomScale="150" workbookViewId="0">
      <selection activeCell="T28" sqref="T28"/>
    </sheetView>
  </sheetViews>
  <sheetFormatPr baseColWidth="10" defaultRowHeight="15"/>
  <cols>
    <col min="9" max="9" width="10.33203125" bestFit="1" customWidth="1"/>
    <col min="10" max="10" width="11.6640625" bestFit="1" customWidth="1"/>
    <col min="11" max="11" width="10.33203125" bestFit="1" customWidth="1"/>
    <col min="12" max="12" width="5" bestFit="1" customWidth="1"/>
    <col min="13" max="15" width="6" bestFit="1" customWidth="1"/>
    <col min="16" max="16" width="10" bestFit="1" customWidth="1"/>
    <col min="17" max="18" width="5" bestFit="1" customWidth="1"/>
    <col min="19" max="19" width="6" bestFit="1" customWidth="1"/>
    <col min="20" max="20" width="12.5" bestFit="1" customWidth="1"/>
    <col min="21" max="21" width="10" bestFit="1" customWidth="1"/>
    <col min="22" max="23" width="5" bestFit="1" customWidth="1"/>
    <col min="24" max="24" width="6" bestFit="1" customWidth="1"/>
    <col min="25" max="25" width="12.5" bestFit="1" customWidth="1"/>
    <col min="26" max="26" width="10" bestFit="1" customWidth="1"/>
    <col min="27" max="28" width="5" bestFit="1" customWidth="1"/>
    <col min="29" max="29" width="6" bestFit="1" customWidth="1"/>
    <col min="30" max="30" width="12.5" bestFit="1" customWidth="1"/>
    <col min="31" max="31" width="6" bestFit="1" customWidth="1"/>
  </cols>
  <sheetData>
    <row r="31" spans="2:3">
      <c r="B31" t="s">
        <v>31</v>
      </c>
      <c r="C31" t="s">
        <v>44</v>
      </c>
    </row>
    <row r="32" spans="2:3">
      <c r="B32" t="s">
        <v>33</v>
      </c>
      <c r="C32" t="s">
        <v>35</v>
      </c>
    </row>
    <row r="33" spans="2:15">
      <c r="B33" t="s">
        <v>34</v>
      </c>
      <c r="C33" s="3">
        <v>44568</v>
      </c>
    </row>
    <row r="34" spans="2:15">
      <c r="B34" t="s">
        <v>37</v>
      </c>
      <c r="C34" s="8" t="s">
        <v>43</v>
      </c>
    </row>
    <row r="35" spans="2:15">
      <c r="C35" s="8" t="s">
        <v>59</v>
      </c>
      <c r="J35" s="4" t="s">
        <v>5</v>
      </c>
      <c r="K35" t="s">
        <v>46</v>
      </c>
    </row>
    <row r="37" spans="2:15">
      <c r="B37" t="s">
        <v>45</v>
      </c>
      <c r="C37" t="s">
        <v>3</v>
      </c>
      <c r="D37" t="s">
        <v>4</v>
      </c>
      <c r="E37" t="s">
        <v>6</v>
      </c>
      <c r="F37" t="s">
        <v>14</v>
      </c>
      <c r="G37" t="s">
        <v>7</v>
      </c>
      <c r="J37" s="4" t="s">
        <v>41</v>
      </c>
      <c r="K37" s="4" t="s">
        <v>40</v>
      </c>
    </row>
    <row r="38" spans="2:15">
      <c r="B38" t="s">
        <v>50</v>
      </c>
      <c r="C38">
        <v>2021</v>
      </c>
      <c r="D38" t="s">
        <v>9</v>
      </c>
      <c r="E38" t="s">
        <v>47</v>
      </c>
      <c r="F38" t="s">
        <v>48</v>
      </c>
      <c r="G38">
        <v>303</v>
      </c>
      <c r="J38" s="4" t="s">
        <v>38</v>
      </c>
      <c r="K38" t="s">
        <v>55</v>
      </c>
      <c r="L38" t="s">
        <v>53</v>
      </c>
      <c r="M38" t="s">
        <v>51</v>
      </c>
      <c r="N38" t="s">
        <v>49</v>
      </c>
      <c r="O38" t="s">
        <v>39</v>
      </c>
    </row>
    <row r="39" spans="2:15">
      <c r="B39" t="s">
        <v>52</v>
      </c>
      <c r="C39">
        <v>2021</v>
      </c>
      <c r="D39" t="s">
        <v>9</v>
      </c>
      <c r="E39" t="s">
        <v>47</v>
      </c>
      <c r="F39" t="s">
        <v>48</v>
      </c>
      <c r="G39">
        <v>419</v>
      </c>
      <c r="J39" s="5" t="s">
        <v>8</v>
      </c>
      <c r="K39" s="6">
        <v>113</v>
      </c>
      <c r="L39" s="6">
        <v>22</v>
      </c>
      <c r="M39" s="6">
        <v>419</v>
      </c>
      <c r="N39" s="6">
        <v>303</v>
      </c>
      <c r="O39" s="6">
        <v>857</v>
      </c>
    </row>
    <row r="40" spans="2:15">
      <c r="B40" t="s">
        <v>54</v>
      </c>
      <c r="C40">
        <v>2021</v>
      </c>
      <c r="D40" t="s">
        <v>9</v>
      </c>
      <c r="E40" t="s">
        <v>47</v>
      </c>
      <c r="F40" t="s">
        <v>48</v>
      </c>
      <c r="G40">
        <v>22</v>
      </c>
      <c r="J40" s="5" t="s">
        <v>25</v>
      </c>
      <c r="K40" s="6">
        <v>33</v>
      </c>
      <c r="L40" s="6">
        <v>21</v>
      </c>
      <c r="M40" s="6">
        <v>442</v>
      </c>
      <c r="N40" s="6">
        <v>415</v>
      </c>
      <c r="O40" s="6">
        <v>911</v>
      </c>
    </row>
    <row r="41" spans="2:15">
      <c r="B41" t="s">
        <v>56</v>
      </c>
      <c r="C41">
        <v>2021</v>
      </c>
      <c r="D41" t="s">
        <v>9</v>
      </c>
      <c r="E41" t="s">
        <v>47</v>
      </c>
      <c r="F41" t="s">
        <v>48</v>
      </c>
      <c r="G41">
        <v>113</v>
      </c>
      <c r="J41" s="5" t="s">
        <v>27</v>
      </c>
      <c r="K41" s="6">
        <v>28</v>
      </c>
      <c r="L41" s="6">
        <v>31</v>
      </c>
      <c r="M41" s="6">
        <v>492</v>
      </c>
      <c r="N41" s="6">
        <v>513</v>
      </c>
      <c r="O41" s="6">
        <v>1064</v>
      </c>
    </row>
    <row r="42" spans="2:15">
      <c r="B42" t="s">
        <v>50</v>
      </c>
      <c r="C42">
        <v>2021</v>
      </c>
      <c r="D42" t="s">
        <v>9</v>
      </c>
      <c r="E42" t="s">
        <v>57</v>
      </c>
      <c r="F42" t="s">
        <v>58</v>
      </c>
      <c r="G42" s="9">
        <v>0.35360000000000003</v>
      </c>
      <c r="J42" s="5" t="s">
        <v>29</v>
      </c>
      <c r="K42" s="6">
        <v>161</v>
      </c>
      <c r="L42" s="6">
        <v>26</v>
      </c>
      <c r="M42" s="6">
        <v>367</v>
      </c>
      <c r="N42" s="6">
        <v>330</v>
      </c>
      <c r="O42" s="6">
        <v>884</v>
      </c>
    </row>
    <row r="43" spans="2:15">
      <c r="B43" t="s">
        <v>52</v>
      </c>
      <c r="C43">
        <v>2021</v>
      </c>
      <c r="D43" t="s">
        <v>9</v>
      </c>
      <c r="E43" t="s">
        <v>57</v>
      </c>
      <c r="F43" t="s">
        <v>58</v>
      </c>
      <c r="G43" s="9">
        <v>0.4889</v>
      </c>
      <c r="J43" s="5" t="s">
        <v>39</v>
      </c>
      <c r="K43" s="6">
        <v>335</v>
      </c>
      <c r="L43" s="6">
        <v>100</v>
      </c>
      <c r="M43" s="6">
        <v>1720</v>
      </c>
      <c r="N43" s="6">
        <v>1561</v>
      </c>
      <c r="O43" s="6">
        <v>3716</v>
      </c>
    </row>
    <row r="44" spans="2:15">
      <c r="B44" t="s">
        <v>54</v>
      </c>
      <c r="C44">
        <v>2021</v>
      </c>
      <c r="D44" t="s">
        <v>9</v>
      </c>
      <c r="E44" t="s">
        <v>57</v>
      </c>
      <c r="F44" t="s">
        <v>58</v>
      </c>
      <c r="G44" s="9">
        <v>2.5700000000000001E-2</v>
      </c>
    </row>
    <row r="45" spans="2:15">
      <c r="B45" t="s">
        <v>56</v>
      </c>
      <c r="C45">
        <v>2021</v>
      </c>
      <c r="D45" t="s">
        <v>9</v>
      </c>
      <c r="E45" t="s">
        <v>57</v>
      </c>
      <c r="F45" t="s">
        <v>58</v>
      </c>
      <c r="G45" s="9">
        <v>0.13189999999999999</v>
      </c>
    </row>
    <row r="46" spans="2:15">
      <c r="B46" t="s">
        <v>50</v>
      </c>
      <c r="C46">
        <v>2021</v>
      </c>
      <c r="D46" t="s">
        <v>26</v>
      </c>
      <c r="E46" t="s">
        <v>47</v>
      </c>
      <c r="F46" t="s">
        <v>48</v>
      </c>
      <c r="G46" s="7">
        <v>415</v>
      </c>
    </row>
    <row r="47" spans="2:15">
      <c r="B47" t="s">
        <v>52</v>
      </c>
      <c r="C47">
        <v>2021</v>
      </c>
      <c r="D47" t="s">
        <v>26</v>
      </c>
      <c r="E47" t="s">
        <v>47</v>
      </c>
      <c r="F47" t="s">
        <v>48</v>
      </c>
      <c r="G47" s="7">
        <v>442</v>
      </c>
    </row>
    <row r="48" spans="2:15">
      <c r="B48" t="s">
        <v>54</v>
      </c>
      <c r="C48">
        <v>2021</v>
      </c>
      <c r="D48" t="s">
        <v>26</v>
      </c>
      <c r="E48" t="s">
        <v>47</v>
      </c>
      <c r="F48" t="s">
        <v>48</v>
      </c>
      <c r="G48" s="7">
        <v>21</v>
      </c>
    </row>
    <row r="49" spans="2:7">
      <c r="B49" t="s">
        <v>56</v>
      </c>
      <c r="C49">
        <v>2021</v>
      </c>
      <c r="D49" t="s">
        <v>26</v>
      </c>
      <c r="E49" t="s">
        <v>47</v>
      </c>
      <c r="F49" t="s">
        <v>48</v>
      </c>
      <c r="G49" s="7">
        <v>33</v>
      </c>
    </row>
    <row r="50" spans="2:7">
      <c r="B50" t="s">
        <v>50</v>
      </c>
      <c r="C50">
        <v>2021</v>
      </c>
      <c r="D50" t="s">
        <v>26</v>
      </c>
      <c r="E50" t="s">
        <v>57</v>
      </c>
      <c r="F50" t="s">
        <v>58</v>
      </c>
      <c r="G50" s="9">
        <v>0.45550000000000002</v>
      </c>
    </row>
    <row r="51" spans="2:7">
      <c r="B51" t="s">
        <v>52</v>
      </c>
      <c r="C51">
        <v>2021</v>
      </c>
      <c r="D51" t="s">
        <v>26</v>
      </c>
      <c r="E51" t="s">
        <v>57</v>
      </c>
      <c r="F51" t="s">
        <v>58</v>
      </c>
      <c r="G51" s="9">
        <v>0.48520000000000002</v>
      </c>
    </row>
    <row r="52" spans="2:7">
      <c r="B52" t="s">
        <v>54</v>
      </c>
      <c r="C52">
        <v>2021</v>
      </c>
      <c r="D52" t="s">
        <v>26</v>
      </c>
      <c r="E52" t="s">
        <v>57</v>
      </c>
      <c r="F52" t="s">
        <v>58</v>
      </c>
      <c r="G52" s="9">
        <v>2.3099999999999999E-2</v>
      </c>
    </row>
    <row r="53" spans="2:7">
      <c r="B53" t="s">
        <v>56</v>
      </c>
      <c r="C53">
        <v>2021</v>
      </c>
      <c r="D53" t="s">
        <v>26</v>
      </c>
      <c r="E53" t="s">
        <v>57</v>
      </c>
      <c r="F53" t="s">
        <v>58</v>
      </c>
      <c r="G53" s="9">
        <v>3.6200000000000003E-2</v>
      </c>
    </row>
    <row r="54" spans="2:7">
      <c r="B54" t="s">
        <v>50</v>
      </c>
      <c r="C54">
        <v>2021</v>
      </c>
      <c r="D54" t="s">
        <v>28</v>
      </c>
      <c r="E54" t="s">
        <v>47</v>
      </c>
      <c r="F54" t="s">
        <v>48</v>
      </c>
      <c r="G54" s="10">
        <v>513</v>
      </c>
    </row>
    <row r="55" spans="2:7">
      <c r="B55" t="s">
        <v>52</v>
      </c>
      <c r="C55">
        <v>2021</v>
      </c>
      <c r="D55" t="s">
        <v>28</v>
      </c>
      <c r="E55" t="s">
        <v>47</v>
      </c>
      <c r="F55" t="s">
        <v>48</v>
      </c>
      <c r="G55" s="10">
        <v>492</v>
      </c>
    </row>
    <row r="56" spans="2:7">
      <c r="B56" t="s">
        <v>54</v>
      </c>
      <c r="C56">
        <v>2021</v>
      </c>
      <c r="D56" t="s">
        <v>28</v>
      </c>
      <c r="E56" t="s">
        <v>47</v>
      </c>
      <c r="F56" t="s">
        <v>48</v>
      </c>
      <c r="G56" s="10">
        <v>31</v>
      </c>
    </row>
    <row r="57" spans="2:7">
      <c r="B57" t="s">
        <v>56</v>
      </c>
      <c r="C57">
        <v>2021</v>
      </c>
      <c r="D57" t="s">
        <v>28</v>
      </c>
      <c r="E57" t="s">
        <v>47</v>
      </c>
      <c r="F57" t="s">
        <v>48</v>
      </c>
      <c r="G57" s="10">
        <v>28</v>
      </c>
    </row>
    <row r="58" spans="2:7">
      <c r="B58" t="s">
        <v>50</v>
      </c>
      <c r="C58">
        <v>2021</v>
      </c>
      <c r="D58" t="s">
        <v>28</v>
      </c>
      <c r="E58" t="s">
        <v>57</v>
      </c>
      <c r="F58" t="s">
        <v>58</v>
      </c>
      <c r="G58" s="9">
        <v>0.48209999999999997</v>
      </c>
    </row>
    <row r="59" spans="2:7">
      <c r="B59" t="s">
        <v>52</v>
      </c>
      <c r="C59">
        <v>2021</v>
      </c>
      <c r="D59" t="s">
        <v>28</v>
      </c>
      <c r="E59" t="s">
        <v>57</v>
      </c>
      <c r="F59" t="s">
        <v>58</v>
      </c>
      <c r="G59" s="9">
        <v>0.46239999999999998</v>
      </c>
    </row>
    <row r="60" spans="2:7">
      <c r="B60" t="s">
        <v>54</v>
      </c>
      <c r="C60">
        <v>2021</v>
      </c>
      <c r="D60" t="s">
        <v>28</v>
      </c>
      <c r="E60" t="s">
        <v>57</v>
      </c>
      <c r="F60" t="s">
        <v>58</v>
      </c>
      <c r="G60" s="9">
        <v>2.9100000000000001E-2</v>
      </c>
    </row>
    <row r="61" spans="2:7">
      <c r="B61" t="s">
        <v>56</v>
      </c>
      <c r="C61">
        <v>2021</v>
      </c>
      <c r="D61" t="s">
        <v>28</v>
      </c>
      <c r="E61" t="s">
        <v>57</v>
      </c>
      <c r="F61" t="s">
        <v>58</v>
      </c>
      <c r="G61" s="9">
        <v>2.63E-2</v>
      </c>
    </row>
    <row r="62" spans="2:7">
      <c r="B62" t="s">
        <v>50</v>
      </c>
      <c r="C62">
        <v>2021</v>
      </c>
      <c r="D62" t="s">
        <v>30</v>
      </c>
      <c r="E62" t="s">
        <v>47</v>
      </c>
      <c r="F62" t="s">
        <v>48</v>
      </c>
      <c r="G62" s="7">
        <v>330</v>
      </c>
    </row>
    <row r="63" spans="2:7">
      <c r="B63" t="s">
        <v>52</v>
      </c>
      <c r="C63">
        <v>2021</v>
      </c>
      <c r="D63" t="s">
        <v>30</v>
      </c>
      <c r="E63" t="s">
        <v>47</v>
      </c>
      <c r="F63" t="s">
        <v>48</v>
      </c>
      <c r="G63" s="7">
        <v>367</v>
      </c>
    </row>
    <row r="64" spans="2:7">
      <c r="B64" t="s">
        <v>54</v>
      </c>
      <c r="C64">
        <v>2021</v>
      </c>
      <c r="D64" t="s">
        <v>30</v>
      </c>
      <c r="E64" t="s">
        <v>47</v>
      </c>
      <c r="F64" t="s">
        <v>48</v>
      </c>
      <c r="G64" s="7">
        <v>26</v>
      </c>
    </row>
    <row r="65" spans="2:10">
      <c r="B65" t="s">
        <v>56</v>
      </c>
      <c r="C65">
        <v>2021</v>
      </c>
      <c r="D65" t="s">
        <v>30</v>
      </c>
      <c r="E65" t="s">
        <v>47</v>
      </c>
      <c r="F65" t="s">
        <v>48</v>
      </c>
      <c r="G65" s="7">
        <v>161</v>
      </c>
    </row>
    <row r="66" spans="2:10">
      <c r="B66" t="s">
        <v>50</v>
      </c>
      <c r="C66">
        <v>2021</v>
      </c>
      <c r="D66" t="s">
        <v>30</v>
      </c>
      <c r="E66" t="s">
        <v>57</v>
      </c>
      <c r="F66" t="s">
        <v>58</v>
      </c>
      <c r="G66" s="9">
        <v>0.37330000000000002</v>
      </c>
    </row>
    <row r="67" spans="2:10">
      <c r="B67" t="s">
        <v>52</v>
      </c>
      <c r="C67">
        <v>2021</v>
      </c>
      <c r="D67" t="s">
        <v>30</v>
      </c>
      <c r="E67" t="s">
        <v>57</v>
      </c>
      <c r="F67" t="s">
        <v>58</v>
      </c>
      <c r="G67" s="9">
        <v>0.41520000000000001</v>
      </c>
    </row>
    <row r="68" spans="2:10">
      <c r="B68" t="s">
        <v>54</v>
      </c>
      <c r="C68">
        <v>2021</v>
      </c>
      <c r="D68" t="s">
        <v>30</v>
      </c>
      <c r="E68" t="s">
        <v>57</v>
      </c>
      <c r="F68" t="s">
        <v>58</v>
      </c>
      <c r="G68" s="9">
        <v>2.9399999999999999E-2</v>
      </c>
    </row>
    <row r="69" spans="2:10">
      <c r="B69" t="s">
        <v>56</v>
      </c>
      <c r="C69">
        <v>2021</v>
      </c>
      <c r="D69" t="s">
        <v>30</v>
      </c>
      <c r="E69" t="s">
        <v>57</v>
      </c>
      <c r="F69" t="s">
        <v>58</v>
      </c>
      <c r="G69" s="9">
        <v>0.18210000000000001</v>
      </c>
    </row>
    <row r="74" spans="2:10">
      <c r="I74" s="4" t="s">
        <v>5</v>
      </c>
      <c r="J74" t="s">
        <v>46</v>
      </c>
    </row>
    <row r="76" spans="2:10">
      <c r="I76" s="4" t="s">
        <v>38</v>
      </c>
      <c r="J76" t="s">
        <v>41</v>
      </c>
    </row>
    <row r="77" spans="2:10">
      <c r="I77" s="5" t="s">
        <v>49</v>
      </c>
      <c r="J77" s="7">
        <v>1561</v>
      </c>
    </row>
    <row r="78" spans="2:10">
      <c r="I78" s="5" t="s">
        <v>51</v>
      </c>
      <c r="J78" s="7">
        <v>1720</v>
      </c>
    </row>
    <row r="79" spans="2:10">
      <c r="I79" s="5" t="s">
        <v>53</v>
      </c>
      <c r="J79" s="7">
        <v>100</v>
      </c>
    </row>
    <row r="80" spans="2:10">
      <c r="I80" s="5" t="s">
        <v>55</v>
      </c>
      <c r="J80" s="7">
        <v>335</v>
      </c>
    </row>
    <row r="81" spans="9:10">
      <c r="I81" s="5" t="s">
        <v>39</v>
      </c>
      <c r="J81" s="7">
        <v>3716</v>
      </c>
    </row>
  </sheetData>
  <sortState xmlns:xlrd2="http://schemas.microsoft.com/office/spreadsheetml/2017/richdata2" columnSort="1" ref="J37:O43">
    <sortCondition descending="1" ref="K38"/>
  </sortState>
  <phoneticPr fontId="1" type="noConversion"/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區域分析-01</vt:lpstr>
      <vt:lpstr>區域分析-02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2022-01-12T17:05:30Z</dcterms:created>
  <dcterms:modified xsi:type="dcterms:W3CDTF">2022-01-12T19:12:09Z</dcterms:modified>
</cp:coreProperties>
</file>